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https://d.docs.live.net/448df0ccbe02f3c4/"/>
    </mc:Choice>
  </mc:AlternateContent>
  <xr:revisionPtr revIDLastSave="367" documentId="8_{DC64EFC1-65FB-47E8-AC52-471D46ADE481}" xr6:coauthVersionLast="47" xr6:coauthVersionMax="47" xr10:uidLastSave="{5418D0F7-1586-4440-9F96-97C3D3397C09}"/>
  <bookViews>
    <workbookView xWindow="-108" yWindow="-108" windowWidth="23256" windowHeight="12456" tabRatio="731" activeTab="7" xr2:uid="{7F5E6AF5-91CA-4D87-939B-058FCEBD9FB7}"/>
  </bookViews>
  <sheets>
    <sheet name="Main" sheetId="1" r:id="rId1"/>
    <sheet name="Employee" sheetId="2" r:id="rId2"/>
    <sheet name="Department" sheetId="3" r:id="rId3"/>
    <sheet name="JOB" sheetId="4" r:id="rId4"/>
    <sheet name="Lookup Table ignore" sheetId="5" r:id="rId5"/>
    <sheet name="pivot" sheetId="6" r:id="rId6"/>
    <sheet name="KPI" sheetId="7" r:id="rId7"/>
    <sheet name="DashBoard" sheetId="8" r:id="rId8"/>
  </sheets>
  <definedNames>
    <definedName name="_xlcn.WorksheetConnection_HRv4.xlsxTable11" hidden="1">Table1[]</definedName>
    <definedName name="_xlcn.WorksheetConnection_HRv4.xlsxTable21" hidden="1">Table2[]</definedName>
    <definedName name="_xlcn.WorksheetConnection_HRv4.xlsxTable31" hidden="1">Table3[]</definedName>
    <definedName name="_xlcn.WorksheetConnection_HRv4.xlsxTable41" hidden="1">Table4[]</definedName>
    <definedName name="Slicer_Gender">#N/A</definedName>
    <definedName name="Slicer_Marital_Status">#N/A</definedName>
    <definedName name="Slicer_Overtime">#N/A</definedName>
  </definedNames>
  <calcPr calcId="191029"/>
  <pivotCaches>
    <pivotCache cacheId="119" r:id="rId9"/>
    <pivotCache cacheId="122" r:id="rId10"/>
    <pivotCache cacheId="125" r:id="rId11"/>
    <pivotCache cacheId="128" r:id="rId12"/>
    <pivotCache cacheId="131" r:id="rId13"/>
    <pivotCache cacheId="134" r:id="rId14"/>
    <pivotCache cacheId="137" r:id="rId15"/>
    <pivotCache cacheId="140" r:id="rId16"/>
    <pivotCache cacheId="143" r:id="rId17"/>
    <pivotCache cacheId="146" r:id="rId18"/>
    <pivotCache cacheId="150" r:id="rId19"/>
  </pivotCaches>
  <extLst>
    <ext xmlns:x14="http://schemas.microsoft.com/office/spreadsheetml/2009/9/main" uri="{876F7934-8845-4945-9796-88D515C7AA90}">
      <x14:pivotCaches>
        <pivotCache cacheId="149" r:id="rId20"/>
      </x14:pivotCaches>
    </ext>
    <ext xmlns:x14="http://schemas.microsoft.com/office/spreadsheetml/2009/9/main" uri="{BBE1A952-AA13-448e-AADC-164F8A28A991}">
      <x14:slicerCaches>
        <x14:slicerCache r:id="rId21"/>
        <x14:slicerCache r:id="rId22"/>
        <x14:slicerCache r:id="rId2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4" name="JOB" connection="WorksheetConnection_HR v4.xlsx!Table4"/>
          <x15:modelTable id="Table3" name="Department" connection="WorksheetConnection_HR v4.xlsx!Table3"/>
          <x15:modelTable id="Table2" name="Employee" connection="WorksheetConnection_HR v4.xlsx!Table2"/>
          <x15:modelTable id="Table1" name="Main" connection="WorksheetConnection_HR v4.xlsx!Table1"/>
        </x15:modelTables>
        <x15:modelRelationships>
          <x15:modelRelationship fromTable="Main" fromColumn="Department ID" toTable="Department" toColumn="Department id"/>
          <x15:modelRelationship fromTable="Main" fromColumn="JOB ID" toTable="JOB" toColumn="Job ID"/>
          <x15:modelRelationship fromTable="Employee" fromColumn="Employee id" toTable="Main" toColumn="Employee 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6" i="7" l="1"/>
  <c r="B7" i="7"/>
  <c r="B6" i="7"/>
  <c r="B5" i="7"/>
  <c r="A5" i="7"/>
  <c r="B4" i="7"/>
  <c r="A4" i="7"/>
  <c r="B3" i="7"/>
  <c r="A3" i="7"/>
  <c r="A39" i="5" a="1"/>
  <c r="A32" i="5" a="1"/>
  <c r="A23" i="5" a="1"/>
  <c r="A13" i="5" a="1"/>
  <c r="A5" i="5" a="1"/>
  <c r="A1" i="5" a="1"/>
  <c r="I3" i="2" a="1"/>
  <c r="J3" i="2" s="1"/>
  <c r="I4" i="2" a="1"/>
  <c r="J4" i="2" s="1"/>
  <c r="I5" i="2" a="1"/>
  <c r="J5" i="2" s="1"/>
  <c r="I6" i="2" a="1"/>
  <c r="J6" i="2" s="1"/>
  <c r="I7" i="2" a="1"/>
  <c r="J7" i="2" s="1"/>
  <c r="I8" i="2" a="1"/>
  <c r="J8" i="2" s="1"/>
  <c r="I9" i="2" a="1"/>
  <c r="J9" i="2" s="1"/>
  <c r="I10" i="2" a="1"/>
  <c r="J10" i="2" s="1"/>
  <c r="I11" i="2" a="1"/>
  <c r="J11" i="2" s="1"/>
  <c r="I12" i="2" a="1"/>
  <c r="J12" i="2" s="1"/>
  <c r="I13" i="2" a="1"/>
  <c r="J13" i="2" s="1"/>
  <c r="I14" i="2" a="1"/>
  <c r="J14" i="2" s="1"/>
  <c r="I15" i="2" a="1"/>
  <c r="J15" i="2" s="1"/>
  <c r="I16" i="2" a="1"/>
  <c r="J16" i="2" s="1"/>
  <c r="I17" i="2" a="1"/>
  <c r="J17" i="2" s="1"/>
  <c r="I18" i="2" a="1"/>
  <c r="J18" i="2" s="1"/>
  <c r="I19" i="2" a="1"/>
  <c r="J19" i="2" s="1"/>
  <c r="I20" i="2" a="1"/>
  <c r="J20" i="2" s="1"/>
  <c r="I21" i="2" a="1"/>
  <c r="J21" i="2" s="1"/>
  <c r="I22" i="2" a="1"/>
  <c r="J22" i="2" s="1"/>
  <c r="I23" i="2" a="1"/>
  <c r="J23" i="2" s="1"/>
  <c r="I24" i="2" a="1"/>
  <c r="J24" i="2" s="1"/>
  <c r="I25" i="2" a="1"/>
  <c r="J25" i="2" s="1"/>
  <c r="I26" i="2" a="1"/>
  <c r="J26" i="2" s="1"/>
  <c r="I27" i="2" a="1"/>
  <c r="J27" i="2" s="1"/>
  <c r="I28" i="2" a="1"/>
  <c r="J28" i="2" s="1"/>
  <c r="I29" i="2" a="1"/>
  <c r="J29" i="2" s="1"/>
  <c r="I30" i="2" a="1"/>
  <c r="J30" i="2" s="1"/>
  <c r="I31" i="2" a="1"/>
  <c r="J31" i="2" s="1"/>
  <c r="I32" i="2" a="1"/>
  <c r="J32" i="2" s="1"/>
  <c r="I33" i="2" a="1"/>
  <c r="J33" i="2" s="1"/>
  <c r="I34" i="2" a="1"/>
  <c r="J34" i="2" s="1"/>
  <c r="I35" i="2" a="1"/>
  <c r="J35" i="2" s="1"/>
  <c r="I36" i="2" a="1"/>
  <c r="J36" i="2" s="1"/>
  <c r="I37" i="2" a="1"/>
  <c r="J37" i="2" s="1"/>
  <c r="I38" i="2" a="1"/>
  <c r="J38" i="2" s="1"/>
  <c r="I39" i="2" a="1"/>
  <c r="J39" i="2" s="1"/>
  <c r="I40" i="2" a="1"/>
  <c r="J40" i="2" s="1"/>
  <c r="I41" i="2" a="1"/>
  <c r="J41" i="2" s="1"/>
  <c r="I42" i="2" a="1"/>
  <c r="J42" i="2" s="1"/>
  <c r="I43" i="2" a="1"/>
  <c r="J43" i="2" s="1"/>
  <c r="I44" i="2" a="1"/>
  <c r="J44" i="2" s="1"/>
  <c r="I45" i="2" a="1"/>
  <c r="J45" i="2" s="1"/>
  <c r="I46" i="2" a="1"/>
  <c r="J46" i="2" s="1"/>
  <c r="I47" i="2" a="1"/>
  <c r="J47" i="2" s="1"/>
  <c r="I48" i="2" a="1"/>
  <c r="J48" i="2" s="1"/>
  <c r="I49" i="2" a="1"/>
  <c r="J49" i="2" s="1"/>
  <c r="I50" i="2" a="1"/>
  <c r="J50" i="2" s="1"/>
  <c r="I51" i="2" a="1"/>
  <c r="J51" i="2" s="1"/>
  <c r="I2" i="2" a="1"/>
  <c r="J2" i="2" s="1"/>
  <c r="F3" i="2" a="1"/>
  <c r="F4" i="2" a="1"/>
  <c r="F5" i="2" a="1"/>
  <c r="F6" i="2" a="1"/>
  <c r="F7" i="2" a="1"/>
  <c r="F8" i="2" a="1"/>
  <c r="F9" i="2" a="1"/>
  <c r="F10" i="2" a="1"/>
  <c r="F11" i="2" a="1"/>
  <c r="F12" i="2" a="1"/>
  <c r="F13" i="2" a="1"/>
  <c r="F14" i="2" a="1"/>
  <c r="F15" i="2" a="1"/>
  <c r="F16" i="2" a="1"/>
  <c r="F17" i="2" a="1"/>
  <c r="F18" i="2" a="1"/>
  <c r="F19" i="2" a="1"/>
  <c r="F20" i="2" a="1"/>
  <c r="F21" i="2" a="1"/>
  <c r="F22" i="2" a="1"/>
  <c r="F23" i="2" a="1"/>
  <c r="F24" i="2" a="1"/>
  <c r="F25" i="2" a="1"/>
  <c r="F26" i="2" a="1"/>
  <c r="F27" i="2" a="1"/>
  <c r="F28" i="2" a="1"/>
  <c r="F29" i="2" a="1"/>
  <c r="F30" i="2" a="1"/>
  <c r="F31" i="2" a="1"/>
  <c r="F32" i="2" a="1"/>
  <c r="F33" i="2" a="1"/>
  <c r="F34" i="2" a="1"/>
  <c r="F35" i="2" a="1"/>
  <c r="F36" i="2" a="1"/>
  <c r="F37" i="2" a="1"/>
  <c r="F38" i="2" a="1"/>
  <c r="F39" i="2" a="1"/>
  <c r="F40" i="2" a="1"/>
  <c r="F41" i="2" a="1"/>
  <c r="F42" i="2" a="1"/>
  <c r="F43" i="2" a="1"/>
  <c r="F44" i="2" a="1"/>
  <c r="F45" i="2" a="1"/>
  <c r="F46" i="2" a="1"/>
  <c r="F47" i="2" a="1"/>
  <c r="F48" i="2" a="1"/>
  <c r="F49" i="2" a="1"/>
  <c r="F50" i="2" a="1"/>
  <c r="F51" i="2" a="1"/>
  <c r="F2" i="2" a="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FA35394-07F6-409F-AC09-11AB0A40B97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52BED222-EDC6-42CF-B898-B79ABD7AAC64}" name="WorksheetConnection_HR v4.xlsx!Table1" type="102" refreshedVersion="8" minRefreshableVersion="5">
    <extLst>
      <ext xmlns:x15="http://schemas.microsoft.com/office/spreadsheetml/2010/11/main" uri="{DE250136-89BD-433C-8126-D09CA5730AF9}">
        <x15:connection id="Table1">
          <x15:rangePr sourceName="_xlcn.WorksheetConnection_HRv4.xlsxTable11"/>
        </x15:connection>
      </ext>
    </extLst>
  </connection>
  <connection id="3" xr16:uid="{AAA121B5-4C35-4CCE-839C-BFC4EF96EC6F}" name="WorksheetConnection_HR v4.xlsx!Table2" type="102" refreshedVersion="8" minRefreshableVersion="5">
    <extLst>
      <ext xmlns:x15="http://schemas.microsoft.com/office/spreadsheetml/2010/11/main" uri="{DE250136-89BD-433C-8126-D09CA5730AF9}">
        <x15:connection id="Table2">
          <x15:rangePr sourceName="_xlcn.WorksheetConnection_HRv4.xlsxTable21"/>
        </x15:connection>
      </ext>
    </extLst>
  </connection>
  <connection id="4" xr16:uid="{CA2CB069-58B2-4A46-9A0B-3525D17138F9}" name="WorksheetConnection_HR v4.xlsx!Table3" type="102" refreshedVersion="8" minRefreshableVersion="5">
    <extLst>
      <ext xmlns:x15="http://schemas.microsoft.com/office/spreadsheetml/2010/11/main" uri="{DE250136-89BD-433C-8126-D09CA5730AF9}">
        <x15:connection id="Table3">
          <x15:rangePr sourceName="_xlcn.WorksheetConnection_HRv4.xlsxTable31"/>
        </x15:connection>
      </ext>
    </extLst>
  </connection>
  <connection id="5" xr16:uid="{8248AD43-9146-441F-803A-41C52A0E0EF5}" name="WorksheetConnection_HR v4.xlsx!Table4" type="102" refreshedVersion="8" minRefreshableVersion="5">
    <extLst>
      <ext xmlns:x15="http://schemas.microsoft.com/office/spreadsheetml/2010/11/main" uri="{DE250136-89BD-433C-8126-D09CA5730AF9}">
        <x15:connection id="Table4">
          <x15:rangePr sourceName="_xlcn.WorksheetConnection_HRv4.xlsxTable4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<sst xmlns="http://schemas.openxmlformats.org/spreadsheetml/2006/main" count="645" uniqueCount="187">
  <si>
    <t>Employee ID</t>
  </si>
  <si>
    <t>Department ID</t>
  </si>
  <si>
    <t>Gender</t>
  </si>
  <si>
    <t>Attrition</t>
  </si>
  <si>
    <t>Employee id</t>
  </si>
  <si>
    <t>Employee name</t>
  </si>
  <si>
    <t>Salary</t>
  </si>
  <si>
    <t>Rating</t>
  </si>
  <si>
    <t>Overtime</t>
  </si>
  <si>
    <t>Overtime Incentive</t>
  </si>
  <si>
    <t>Salary ( After overtime )</t>
  </si>
  <si>
    <t>Education</t>
  </si>
  <si>
    <t>Department</t>
  </si>
  <si>
    <t>Department id</t>
  </si>
  <si>
    <t>Total Year of Experience</t>
  </si>
  <si>
    <t>Job ID</t>
  </si>
  <si>
    <t>HR</t>
  </si>
  <si>
    <t>Finance</t>
  </si>
  <si>
    <t>Marketing</t>
  </si>
  <si>
    <t>IT</t>
  </si>
  <si>
    <t>Operations</t>
  </si>
  <si>
    <t>D001</t>
  </si>
  <si>
    <t>D002</t>
  </si>
  <si>
    <t>D003</t>
  </si>
  <si>
    <t>D004</t>
  </si>
  <si>
    <t>D005</t>
  </si>
  <si>
    <t>D006</t>
  </si>
  <si>
    <t>E001</t>
  </si>
  <si>
    <t>E002</t>
  </si>
  <si>
    <t>E003</t>
  </si>
  <si>
    <t>E004</t>
  </si>
  <si>
    <t>E005</t>
  </si>
  <si>
    <t>E006</t>
  </si>
  <si>
    <t>E007</t>
  </si>
  <si>
    <t>E008</t>
  </si>
  <si>
    <t>E009</t>
  </si>
  <si>
    <t>E010</t>
  </si>
  <si>
    <t>E011</t>
  </si>
  <si>
    <t>E012</t>
  </si>
  <si>
    <t>E013</t>
  </si>
  <si>
    <t>E014</t>
  </si>
  <si>
    <t>E015</t>
  </si>
  <si>
    <t>E016</t>
  </si>
  <si>
    <t>E017</t>
  </si>
  <si>
    <t>E018</t>
  </si>
  <si>
    <t>E019</t>
  </si>
  <si>
    <t>E020</t>
  </si>
  <si>
    <t>E021</t>
  </si>
  <si>
    <t>E022</t>
  </si>
  <si>
    <t>E023</t>
  </si>
  <si>
    <t>E024</t>
  </si>
  <si>
    <t>E025</t>
  </si>
  <si>
    <t>E026</t>
  </si>
  <si>
    <t>E027</t>
  </si>
  <si>
    <t>E028</t>
  </si>
  <si>
    <t>E029</t>
  </si>
  <si>
    <t>E030</t>
  </si>
  <si>
    <t>E031</t>
  </si>
  <si>
    <t>E032</t>
  </si>
  <si>
    <t>E033</t>
  </si>
  <si>
    <t>E034</t>
  </si>
  <si>
    <t>E035</t>
  </si>
  <si>
    <t>E036</t>
  </si>
  <si>
    <t>E037</t>
  </si>
  <si>
    <t>E038</t>
  </si>
  <si>
    <t>E039</t>
  </si>
  <si>
    <t>E040</t>
  </si>
  <si>
    <t>E041</t>
  </si>
  <si>
    <t>E042</t>
  </si>
  <si>
    <t>E043</t>
  </si>
  <si>
    <t>E044</t>
  </si>
  <si>
    <t>E045</t>
  </si>
  <si>
    <t>E046</t>
  </si>
  <si>
    <t>E047</t>
  </si>
  <si>
    <t>E048</t>
  </si>
  <si>
    <t>E049</t>
  </si>
  <si>
    <t>E050</t>
  </si>
  <si>
    <t>Aarav Sharma</t>
  </si>
  <si>
    <t>Vivaan Gupta</t>
  </si>
  <si>
    <t>Aditya Verma</t>
  </si>
  <si>
    <t>Rohan Mehta</t>
  </si>
  <si>
    <t>Karan Malhotra</t>
  </si>
  <si>
    <t>Arjun Kapoor</t>
  </si>
  <si>
    <t>Rahul Bansal</t>
  </si>
  <si>
    <t>Siddharth Jain</t>
  </si>
  <si>
    <t>Ayush Agarwal</t>
  </si>
  <si>
    <t>Nikhil Khanna</t>
  </si>
  <si>
    <t>Priya Sharma</t>
  </si>
  <si>
    <t>Ananya Gupta</t>
  </si>
  <si>
    <t>Sneha Verma</t>
  </si>
  <si>
    <t>Riya Kapoor</t>
  </si>
  <si>
    <t>Neha Mehta</t>
  </si>
  <si>
    <t>Aditi Jain</t>
  </si>
  <si>
    <t>Pooja Malhotra</t>
  </si>
  <si>
    <t>Kavya Bansal</t>
  </si>
  <si>
    <t>Simran Arora</t>
  </si>
  <si>
    <t>Muskan Gupta</t>
  </si>
  <si>
    <t>Yash Singh</t>
  </si>
  <si>
    <t>Harsh Patel</t>
  </si>
  <si>
    <t>Manav Arora</t>
  </si>
  <si>
    <t>Ishaan Sethi</t>
  </si>
  <si>
    <t>Laksh Gupta</t>
  </si>
  <si>
    <t>Tanish Kapoor</t>
  </si>
  <si>
    <t>Dev Malhotra</t>
  </si>
  <si>
    <t>Pranav Goyal</t>
  </si>
  <si>
    <t>Varun Khurana</t>
  </si>
  <si>
    <t>Rishabh Arora</t>
  </si>
  <si>
    <t>Meera Khanna</t>
  </si>
  <si>
    <t>Naina Sethi</t>
  </si>
  <si>
    <t>Diya Sharma</t>
  </si>
  <si>
    <t>Isha Arora</t>
  </si>
  <si>
    <t>Tanvi Goyal</t>
  </si>
  <si>
    <t>Sakshi Verma</t>
  </si>
  <si>
    <t>Ritika Gupta</t>
  </si>
  <si>
    <t>Khushi Jain</t>
  </si>
  <si>
    <t>Aisha Kapoor</t>
  </si>
  <si>
    <t>Shruti Malhotra</t>
  </si>
  <si>
    <t>Dhruv Bhatia</t>
  </si>
  <si>
    <t>Parth Chawla</t>
  </si>
  <si>
    <t>Krish Anand</t>
  </si>
  <si>
    <t>Aryan Saxena</t>
  </si>
  <si>
    <t>Mohit Joshi</t>
  </si>
  <si>
    <t>Ritu Sharma</t>
  </si>
  <si>
    <t>Sonal Mehra</t>
  </si>
  <si>
    <t>Nikita Arora</t>
  </si>
  <si>
    <t>Tanya Khanna</t>
  </si>
  <si>
    <t>Payal Gupta</t>
  </si>
  <si>
    <t>Male</t>
  </si>
  <si>
    <t>Female</t>
  </si>
  <si>
    <t>B.Tech</t>
  </si>
  <si>
    <t>B.Com</t>
  </si>
  <si>
    <t>BBA</t>
  </si>
  <si>
    <t>BA</t>
  </si>
  <si>
    <t>B.Sc.</t>
  </si>
  <si>
    <t>MBA</t>
  </si>
  <si>
    <t>M.Sc.</t>
  </si>
  <si>
    <t>Ph.D</t>
  </si>
  <si>
    <t>-</t>
  </si>
  <si>
    <t>J01</t>
  </si>
  <si>
    <t>HR Executive</t>
  </si>
  <si>
    <t>J02</t>
  </si>
  <si>
    <t>Recruiter</t>
  </si>
  <si>
    <t>J03</t>
  </si>
  <si>
    <t>Accountant</t>
  </si>
  <si>
    <t>J04</t>
  </si>
  <si>
    <t>Financial Analyst</t>
  </si>
  <si>
    <t>J05</t>
  </si>
  <si>
    <t>Software Engineer</t>
  </si>
  <si>
    <t>J06</t>
  </si>
  <si>
    <t>Data Analyst</t>
  </si>
  <si>
    <t>J07</t>
  </si>
  <si>
    <t>Sales Executive</t>
  </si>
  <si>
    <t>J08</t>
  </si>
  <si>
    <t>Sales Manager</t>
  </si>
  <si>
    <t>J09</t>
  </si>
  <si>
    <t>Marketing Executive</t>
  </si>
  <si>
    <t>J10</t>
  </si>
  <si>
    <t>Digital Marketer</t>
  </si>
  <si>
    <t>J11</t>
  </si>
  <si>
    <t>Operations Executive</t>
  </si>
  <si>
    <t>J12</t>
  </si>
  <si>
    <t>Operations Manager</t>
  </si>
  <si>
    <t xml:space="preserve">Job </t>
  </si>
  <si>
    <t>JOB ID</t>
  </si>
  <si>
    <t>Unmarried</t>
  </si>
  <si>
    <t>Married</t>
  </si>
  <si>
    <t>Yes</t>
  </si>
  <si>
    <t>No</t>
  </si>
  <si>
    <t>śś</t>
  </si>
  <si>
    <t>Marital Status</t>
  </si>
  <si>
    <t>Row Labels</t>
  </si>
  <si>
    <t>Grand Total</t>
  </si>
  <si>
    <t>Count of Employee id</t>
  </si>
  <si>
    <t>Count of Attrition</t>
  </si>
  <si>
    <t>Attrition Count</t>
  </si>
  <si>
    <t>AVG. Rating</t>
  </si>
  <si>
    <t>Avg.Salary</t>
  </si>
  <si>
    <t>No of employee</t>
  </si>
  <si>
    <t>KPI</t>
  </si>
  <si>
    <t>INSIGHTS</t>
  </si>
  <si>
    <t>Proportions of male to female</t>
  </si>
  <si>
    <t>in which department , employyess are the highest</t>
  </si>
  <si>
    <t>attrition rate</t>
  </si>
  <si>
    <t>Avg.Experience</t>
  </si>
  <si>
    <t>Avg.experience</t>
  </si>
  <si>
    <t>v</t>
  </si>
  <si>
    <t>Sales Depo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</si>
</sst>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 #,##0"/>
    <numFmt numFmtId="166" formatCode="&quot;₹&quot;\ #,##0;#,##0\ \-&quot;₹&quot;;&quot;₹&quot;\ #,##0"/>
  </numFmts>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164" fontId="0" fillId="0" borderId="0" xfId="0" applyNumberFormat="1"/>
    <xf numFmtId="0" fontId="0" fillId="0" borderId="0" xfId="0" applyAlignment="1">
      <alignment horizontal="center"/>
    </xf>
    <xf numFmtId="0" fontId="0" fillId="0" borderId="0" xfId="0" quotePrefix="1" applyAlignment="1">
      <alignment horizontal="center"/>
    </xf>
    <xf numFmtId="0" fontId="0" fillId="0" borderId="0" xfId="0" applyAlignment="1">
      <alignment vertical="center" wrapText="1"/>
    </xf>
    <xf numFmtId="0" fontId="0" fillId="0" borderId="0" xfId="0" pivotButton="1"/>
    <xf numFmtId="0" fontId="0" fillId="0" borderId="0" xfId="0" applyAlignment="1">
      <alignment horizontal="left"/>
    </xf>
    <xf numFmtId="1" fontId="0" fillId="0" borderId="0" xfId="0" applyNumberFormat="1"/>
    <xf numFmtId="9" fontId="0" fillId="0" borderId="0" xfId="0" applyNumberFormat="1"/>
    <xf numFmtId="0" fontId="0" fillId="0" borderId="0" xfId="0" applyNumberFormat="1"/>
    <xf numFmtId="166" fontId="0" fillId="0" borderId="0" xfId="0" applyNumberFormat="1"/>
  </cellXfs>
  <cellStyles count="1">
    <cellStyle name="Normal" xfId="0" builtinId="0"/>
  </cellStyles>
  <dxfs count="28">
    <dxf>
      <numFmt numFmtId="13" formatCode="0%"/>
    </dxf>
    <dxf>
      <numFmt numFmtId="13" formatCode="0%"/>
    </dxf>
    <dxf>
      <numFmt numFmtId="13" formatCode="0%"/>
    </dxf>
    <dxf>
      <numFmt numFmtId="1" formatCode="0"/>
    </dxf>
    <dxf>
      <numFmt numFmtId="1" formatCode="0"/>
    </dxf>
    <dxf>
      <numFmt numFmtId="13" formatCode="0%"/>
    </dxf>
    <dxf>
      <numFmt numFmtId="13" formatCode="0%"/>
    </dxf>
    <dxf>
      <numFmt numFmtId="13" formatCode="0%"/>
    </dxf>
    <dxf>
      <numFmt numFmtId="13" formatCode="0%"/>
    </dxf>
    <dxf>
      <numFmt numFmtId="13" formatCode="0%"/>
    </dxf>
    <dxf>
      <numFmt numFmtId="13" formatCode="0%"/>
    </dxf>
    <dxf>
      <numFmt numFmtId="1" formatCode="0"/>
    </dxf>
    <dxf>
      <numFmt numFmtId="1" formatCode="0"/>
    </dxf>
    <dxf>
      <numFmt numFmtId="13" formatCode="0%"/>
    </dxf>
    <dxf>
      <numFmt numFmtId="13" formatCode="0%"/>
    </dxf>
    <dxf>
      <numFmt numFmtId="13" formatCode="0%"/>
    </dxf>
    <dxf>
      <numFmt numFmtId="13" formatCode="0%"/>
    </dxf>
    <dxf>
      <numFmt numFmtId="13" formatCode="0%"/>
    </dxf>
    <dxf>
      <numFmt numFmtId="13" formatCode="0%"/>
    </dxf>
    <dxf>
      <numFmt numFmtId="1" formatCode="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center" vertical="bottom" textRotation="0" wrapText="0" indent="0" justifyLastLine="0" shrinkToFit="0" readingOrder="0"/>
    </dxf>
    <dxf>
      <numFmt numFmtId="164" formatCode="&quot;₹&quot;\ #,##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quot;₹&quot;\ #,##0"/>
    </dxf>
  </dxfs>
  <tableStyles count="1" defaultTableStyle="TableStyleMedium2" defaultPivotStyle="PivotStyleLight16">
    <tableStyle name="Invisible" pivot="0" table="0" count="0" xr9:uid="{F800FE68-9A85-41FC-B0B7-0340DCCD11D6}"/>
  </tableStyles>
  <colors>
    <mruColors>
      <color rgb="FFFF66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5.xml"/><Relationship Id="rId18" Type="http://schemas.openxmlformats.org/officeDocument/2006/relationships/pivotCacheDefinition" Target="pivotCache/pivotCacheDefinition10.xml"/><Relationship Id="rId26" Type="http://schemas.openxmlformats.org/officeDocument/2006/relationships/styles" Target="styles.xml"/><Relationship Id="rId39" Type="http://schemas.openxmlformats.org/officeDocument/2006/relationships/customXml" Target="../customXml/item8.xml"/><Relationship Id="rId21" Type="http://schemas.microsoft.com/office/2007/relationships/slicerCache" Target="slicerCaches/slicerCache1.xml"/><Relationship Id="rId34" Type="http://schemas.openxmlformats.org/officeDocument/2006/relationships/customXml" Target="../customXml/item3.xml"/><Relationship Id="rId42" Type="http://schemas.openxmlformats.org/officeDocument/2006/relationships/customXml" Target="../customXml/item11.xml"/><Relationship Id="rId47" Type="http://schemas.openxmlformats.org/officeDocument/2006/relationships/customXml" Target="../customXml/item16.xml"/><Relationship Id="rId50" Type="http://schemas.openxmlformats.org/officeDocument/2006/relationships/customXml" Target="../customXml/item19.xml"/><Relationship Id="rId55" Type="http://schemas.openxmlformats.org/officeDocument/2006/relationships/customXml" Target="../customXml/item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9" Type="http://schemas.openxmlformats.org/officeDocument/2006/relationships/powerPivotData" Target="model/item.data"/><Relationship Id="rId11" Type="http://schemas.openxmlformats.org/officeDocument/2006/relationships/pivotCacheDefinition" Target="pivotCache/pivotCacheDefinition3.xml"/><Relationship Id="rId24" Type="http://schemas.openxmlformats.org/officeDocument/2006/relationships/theme" Target="theme/theme1.xml"/><Relationship Id="rId32" Type="http://schemas.openxmlformats.org/officeDocument/2006/relationships/customXml" Target="../customXml/item1.xml"/><Relationship Id="rId37" Type="http://schemas.openxmlformats.org/officeDocument/2006/relationships/customXml" Target="../customXml/item6.xml"/><Relationship Id="rId40" Type="http://schemas.openxmlformats.org/officeDocument/2006/relationships/customXml" Target="../customXml/item9.xml"/><Relationship Id="rId45" Type="http://schemas.openxmlformats.org/officeDocument/2006/relationships/customXml" Target="../customXml/item14.xml"/><Relationship Id="rId53" Type="http://schemas.openxmlformats.org/officeDocument/2006/relationships/customXml" Target="../customXml/item22.xml"/><Relationship Id="rId58" Type="http://schemas.openxmlformats.org/officeDocument/2006/relationships/customXml" Target="../customXml/item27.xml"/><Relationship Id="rId5" Type="http://schemas.openxmlformats.org/officeDocument/2006/relationships/worksheet" Target="worksheets/sheet5.xml"/><Relationship Id="rId61" Type="http://schemas.openxmlformats.org/officeDocument/2006/relationships/customXml" Target="../customXml/item30.xml"/><Relationship Id="rId19" Type="http://schemas.openxmlformats.org/officeDocument/2006/relationships/pivotCacheDefinition" Target="pivotCache/pivotCacheDefinition11.xml"/><Relationship Id="rId14" Type="http://schemas.openxmlformats.org/officeDocument/2006/relationships/pivotCacheDefinition" Target="pivotCache/pivotCacheDefinition6.xml"/><Relationship Id="rId22" Type="http://schemas.microsoft.com/office/2007/relationships/slicerCache" Target="slicerCaches/slicerCache2.xml"/><Relationship Id="rId27" Type="http://schemas.openxmlformats.org/officeDocument/2006/relationships/sharedStrings" Target="sharedStrings.xml"/><Relationship Id="rId30" Type="http://schemas.microsoft.com/office/2017/10/relationships/person" Target="persons/person.xml"/><Relationship Id="rId35" Type="http://schemas.openxmlformats.org/officeDocument/2006/relationships/customXml" Target="../customXml/item4.xml"/><Relationship Id="rId43" Type="http://schemas.openxmlformats.org/officeDocument/2006/relationships/customXml" Target="../customXml/item12.xml"/><Relationship Id="rId48" Type="http://schemas.openxmlformats.org/officeDocument/2006/relationships/customXml" Target="../customXml/item17.xml"/><Relationship Id="rId56" Type="http://schemas.openxmlformats.org/officeDocument/2006/relationships/customXml" Target="../customXml/item25.xml"/><Relationship Id="rId8" Type="http://schemas.openxmlformats.org/officeDocument/2006/relationships/worksheet" Target="worksheets/sheet8.xml"/><Relationship Id="rId51" Type="http://schemas.openxmlformats.org/officeDocument/2006/relationships/customXml" Target="../customXml/item20.xml"/><Relationship Id="rId3" Type="http://schemas.openxmlformats.org/officeDocument/2006/relationships/worksheet" Target="worksheets/sheet3.xml"/><Relationship Id="rId12" Type="http://schemas.openxmlformats.org/officeDocument/2006/relationships/pivotCacheDefinition" Target="pivotCache/pivotCacheDefinition4.xml"/><Relationship Id="rId17" Type="http://schemas.openxmlformats.org/officeDocument/2006/relationships/pivotCacheDefinition" Target="pivotCache/pivotCacheDefinition9.xml"/><Relationship Id="rId25" Type="http://schemas.openxmlformats.org/officeDocument/2006/relationships/connections" Target="connections.xml"/><Relationship Id="rId33" Type="http://schemas.openxmlformats.org/officeDocument/2006/relationships/customXml" Target="../customXml/item2.xml"/><Relationship Id="rId38" Type="http://schemas.openxmlformats.org/officeDocument/2006/relationships/customXml" Target="../customXml/item7.xml"/><Relationship Id="rId46" Type="http://schemas.openxmlformats.org/officeDocument/2006/relationships/customXml" Target="../customXml/item15.xml"/><Relationship Id="rId59" Type="http://schemas.openxmlformats.org/officeDocument/2006/relationships/customXml" Target="../customXml/item28.xml"/><Relationship Id="rId20" Type="http://schemas.openxmlformats.org/officeDocument/2006/relationships/pivotCacheDefinition" Target="pivotCache/pivotCacheDefinition12.xml"/><Relationship Id="rId41" Type="http://schemas.openxmlformats.org/officeDocument/2006/relationships/customXml" Target="../customXml/item10.xml"/><Relationship Id="rId54" Type="http://schemas.openxmlformats.org/officeDocument/2006/relationships/customXml" Target="../customXml/item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7.xml"/><Relationship Id="rId23" Type="http://schemas.microsoft.com/office/2007/relationships/slicerCache" Target="slicerCaches/slicerCache3.xml"/><Relationship Id="rId28" Type="http://schemas.openxmlformats.org/officeDocument/2006/relationships/sheetMetadata" Target="metadata.xml"/><Relationship Id="rId36" Type="http://schemas.openxmlformats.org/officeDocument/2006/relationships/customXml" Target="../customXml/item5.xml"/><Relationship Id="rId49" Type="http://schemas.openxmlformats.org/officeDocument/2006/relationships/customXml" Target="../customXml/item18.xml"/><Relationship Id="rId57" Type="http://schemas.openxmlformats.org/officeDocument/2006/relationships/customXml" Target="../customXml/item26.xml"/><Relationship Id="rId10" Type="http://schemas.openxmlformats.org/officeDocument/2006/relationships/pivotCacheDefinition" Target="pivotCache/pivotCacheDefinition2.xml"/><Relationship Id="rId31" Type="http://schemas.openxmlformats.org/officeDocument/2006/relationships/calcChain" Target="calcChain.xml"/><Relationship Id="rId44" Type="http://schemas.openxmlformats.org/officeDocument/2006/relationships/customXml" Target="../customXml/item13.xml"/><Relationship Id="rId52" Type="http://schemas.openxmlformats.org/officeDocument/2006/relationships/customXml" Target="../customXml/item21.xml"/><Relationship Id="rId60" Type="http://schemas.openxmlformats.org/officeDocument/2006/relationships/customXml" Target="../customXml/item29.xml"/><Relationship Id="rId4" Type="http://schemas.openxmlformats.org/officeDocument/2006/relationships/worksheet" Target="worksheets/sheet4.xml"/><Relationship Id="rId9"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v7.xlsx]pivot!PivotTable1</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FF66CC"/>
          </a:solidFill>
          <a:ln>
            <a:noFill/>
          </a:ln>
          <a:effectLst>
            <a:outerShdw blurRad="317500" algn="ctr" rotWithShape="0">
              <a:prstClr val="black">
                <a:alpha val="25000"/>
              </a:prstClr>
            </a:outerShdw>
          </a:effectLst>
        </c:spPr>
        <c:dLbl>
          <c:idx val="0"/>
          <c:layout>
            <c:manualLayout>
              <c:x val="3.847848546373456E-5"/>
              <c:y val="-2.472000260210553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lumMod val="60000"/>
              <a:lumOff val="40000"/>
            </a:schemeClr>
          </a:solidFill>
          <a:ln>
            <a:noFill/>
          </a:ln>
          <a:effectLst>
            <a:outerShdw blurRad="317500" algn="ctr" rotWithShape="0">
              <a:prstClr val="black">
                <a:alpha val="25000"/>
              </a:prstClr>
            </a:outerShdw>
          </a:effectLst>
        </c:spPr>
        <c:dLbl>
          <c:idx val="0"/>
          <c:layout>
            <c:manualLayout>
              <c:x val="1.6985502868961326E-3"/>
              <c:y val="3.608763228167027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3.4708738527420277E-2"/>
          <c:y val="8.053097906285131E-2"/>
          <c:w val="0.77740145587878329"/>
          <c:h val="0.87345131861551939"/>
        </c:manualLayout>
      </c:layout>
      <c:doughnutChart>
        <c:varyColors val="1"/>
        <c:ser>
          <c:idx val="0"/>
          <c:order val="0"/>
          <c:tx>
            <c:strRef>
              <c:f>pivot!$B$1</c:f>
              <c:strCache>
                <c:ptCount val="1"/>
                <c:pt idx="0">
                  <c:v>Total</c:v>
                </c:pt>
              </c:strCache>
            </c:strRef>
          </c:tx>
          <c:dPt>
            <c:idx val="0"/>
            <c:bubble3D val="0"/>
            <c:spPr>
              <a:solidFill>
                <a:srgbClr val="FF66CC"/>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2DCA-419A-BBFE-78B46BD95C8C}"/>
              </c:ext>
            </c:extLst>
          </c:dPt>
          <c:dPt>
            <c:idx val="1"/>
            <c:bubble3D val="0"/>
            <c:spPr>
              <a:solidFill>
                <a:schemeClr val="accent1">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2DCA-419A-BBFE-78B46BD95C8C}"/>
              </c:ext>
            </c:extLst>
          </c:dPt>
          <c:dLbls>
            <c:dLbl>
              <c:idx val="0"/>
              <c:layout>
                <c:manualLayout>
                  <c:x val="3.847848546373456E-5"/>
                  <c:y val="-2.4720002602105537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2DCA-419A-BBFE-78B46BD95C8C}"/>
                </c:ext>
              </c:extLst>
            </c:dLbl>
            <c:dLbl>
              <c:idx val="1"/>
              <c:layout>
                <c:manualLayout>
                  <c:x val="1.6985502868961326E-3"/>
                  <c:y val="3.6087632281670272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DCA-419A-BBFE-78B46BD95C8C}"/>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pivot!$A$2:$A$4</c:f>
              <c:strCache>
                <c:ptCount val="2"/>
                <c:pt idx="0">
                  <c:v>Female</c:v>
                </c:pt>
                <c:pt idx="1">
                  <c:v>Male</c:v>
                </c:pt>
              </c:strCache>
            </c:strRef>
          </c:cat>
          <c:val>
            <c:numRef>
              <c:f>pivot!$B$2:$B$4</c:f>
              <c:numCache>
                <c:formatCode>General</c:formatCode>
                <c:ptCount val="2"/>
                <c:pt idx="0">
                  <c:v>26</c:v>
                </c:pt>
                <c:pt idx="1">
                  <c:v>24</c:v>
                </c:pt>
              </c:numCache>
            </c:numRef>
          </c:val>
          <c:extLst>
            <c:ext xmlns:c16="http://schemas.microsoft.com/office/drawing/2014/chart" uri="{C3380CC4-5D6E-409C-BE32-E72D297353CC}">
              <c16:uniqueId val="{00000004-2DCA-419A-BBFE-78B46BD95C8C}"/>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73460200215747973"/>
          <c:y val="0.29914392508339693"/>
          <c:w val="0.19420048532605469"/>
          <c:h val="0.46449254159936881"/>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accent1">
                  <a:lumMod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2700" cap="flat" cmpd="sng" algn="ctr">
      <a:no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v7.xlsx]pivot!PivotTable2</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811510515012361"/>
          <c:y val="4.0847092424472507E-2"/>
          <c:w val="0.75986497980808321"/>
          <c:h val="0.71415259858036828"/>
        </c:manualLayout>
      </c:layout>
      <c:barChart>
        <c:barDir val="bar"/>
        <c:grouping val="clustered"/>
        <c:varyColors val="0"/>
        <c:ser>
          <c:idx val="0"/>
          <c:order val="0"/>
          <c:tx>
            <c:strRef>
              <c:f>pivot!$B$6</c:f>
              <c:strCache>
                <c:ptCount val="1"/>
                <c:pt idx="0">
                  <c:v>Total</c:v>
                </c:pt>
              </c:strCache>
            </c:strRef>
          </c:tx>
          <c:spPr>
            <a:solidFill>
              <a:srgbClr val="C00000"/>
            </a:solidFill>
            <a:ln>
              <a:noFill/>
            </a:ln>
            <a:effectLst/>
          </c:spPr>
          <c:invertIfNegative val="0"/>
          <c:cat>
            <c:strRef>
              <c:f>pivot!$A$7:$A$13</c:f>
              <c:strCache>
                <c:ptCount val="6"/>
                <c:pt idx="0">
                  <c:v>Marketing</c:v>
                </c:pt>
                <c:pt idx="1">
                  <c:v>Operations</c:v>
                </c:pt>
                <c:pt idx="2">
                  <c:v>Sales Depo</c:v>
                </c:pt>
                <c:pt idx="3">
                  <c:v>HR</c:v>
                </c:pt>
                <c:pt idx="4">
                  <c:v>Finance</c:v>
                </c:pt>
                <c:pt idx="5">
                  <c:v>IT</c:v>
                </c:pt>
              </c:strCache>
            </c:strRef>
          </c:cat>
          <c:val>
            <c:numRef>
              <c:f>pivot!$B$7:$B$13</c:f>
              <c:numCache>
                <c:formatCode>General</c:formatCode>
                <c:ptCount val="6"/>
                <c:pt idx="0">
                  <c:v>3</c:v>
                </c:pt>
                <c:pt idx="1">
                  <c:v>3</c:v>
                </c:pt>
                <c:pt idx="2">
                  <c:v>1</c:v>
                </c:pt>
                <c:pt idx="3">
                  <c:v>1</c:v>
                </c:pt>
                <c:pt idx="4">
                  <c:v>1</c:v>
                </c:pt>
                <c:pt idx="5">
                  <c:v>1</c:v>
                </c:pt>
              </c:numCache>
            </c:numRef>
          </c:val>
          <c:extLst>
            <c:ext xmlns:c16="http://schemas.microsoft.com/office/drawing/2014/chart" uri="{C3380CC4-5D6E-409C-BE32-E72D297353CC}">
              <c16:uniqueId val="{00000000-49ED-4909-A973-70A9E55ECDB6}"/>
            </c:ext>
          </c:extLst>
        </c:ser>
        <c:dLbls>
          <c:showLegendKey val="0"/>
          <c:showVal val="0"/>
          <c:showCatName val="0"/>
          <c:showSerName val="0"/>
          <c:showPercent val="0"/>
          <c:showBubbleSize val="0"/>
        </c:dLbls>
        <c:gapWidth val="182"/>
        <c:axId val="487204096"/>
        <c:axId val="487211776"/>
      </c:barChart>
      <c:catAx>
        <c:axId val="487204096"/>
        <c:scaling>
          <c:orientation val="minMax"/>
        </c:scaling>
        <c:delete val="0"/>
        <c:axPos val="l"/>
        <c:title>
          <c:tx>
            <c:rich>
              <a:bodyPr rot="-5400000" spcFirstLastPara="1" vertOverflow="ellipsis" vert="horz" wrap="square" anchor="ctr" anchorCtr="1"/>
              <a:lstStyle/>
              <a:p>
                <a:pPr algn="ctr" rtl="0">
                  <a:defRPr lang="en-IN" sz="2400" b="0" i="0" u="none" strike="noStrike" kern="1200" baseline="0">
                    <a:solidFill>
                      <a:srgbClr val="C00000"/>
                    </a:solidFill>
                    <a:latin typeface="Anton" pitchFamily="2" charset="0"/>
                    <a:ea typeface="+mn-ea"/>
                    <a:cs typeface="+mn-cs"/>
                  </a:defRPr>
                </a:pPr>
                <a:r>
                  <a:rPr lang="en-IN" sz="2400" b="0" i="0" u="none" strike="noStrike" kern="1200" baseline="0">
                    <a:solidFill>
                      <a:srgbClr val="C00000"/>
                    </a:solidFill>
                    <a:latin typeface="Anton" pitchFamily="2" charset="0"/>
                    <a:ea typeface="+mn-ea"/>
                    <a:cs typeface="+mn-cs"/>
                  </a:rPr>
                  <a:t>Departments</a:t>
                </a:r>
              </a:p>
            </c:rich>
          </c:tx>
          <c:layout>
            <c:manualLayout>
              <c:xMode val="edge"/>
              <c:yMode val="edge"/>
              <c:x val="2.84213388275967E-2"/>
              <c:y val="0.23619084551873165"/>
            </c:manualLayout>
          </c:layout>
          <c:overlay val="0"/>
          <c:spPr>
            <a:noFill/>
            <a:ln>
              <a:noFill/>
            </a:ln>
            <a:effectLst/>
          </c:spPr>
          <c:txPr>
            <a:bodyPr rot="-5400000" spcFirstLastPara="1" vertOverflow="ellipsis" vert="horz" wrap="square" anchor="ctr" anchorCtr="1"/>
            <a:lstStyle/>
            <a:p>
              <a:pPr algn="ctr" rtl="0">
                <a:defRPr lang="en-IN" sz="2400" b="0" i="0" u="none" strike="noStrike" kern="1200" baseline="0">
                  <a:solidFill>
                    <a:srgbClr val="C00000"/>
                  </a:solidFill>
                  <a:latin typeface="Anton" pitchFamily="2" charset="0"/>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487211776"/>
        <c:crosses val="autoZero"/>
        <c:auto val="1"/>
        <c:lblAlgn val="ctr"/>
        <c:lblOffset val="100"/>
        <c:noMultiLvlLbl val="0"/>
      </c:catAx>
      <c:valAx>
        <c:axId val="48721177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2000" b="0" i="0" u="none" strike="noStrike" kern="1200" baseline="0">
                    <a:solidFill>
                      <a:srgbClr val="C00000"/>
                    </a:solidFill>
                    <a:latin typeface="Anton" pitchFamily="2" charset="0"/>
                    <a:ea typeface="+mn-ea"/>
                    <a:cs typeface="+mn-cs"/>
                  </a:defRPr>
                </a:pPr>
                <a:r>
                  <a:rPr lang="en-IN" sz="2000">
                    <a:solidFill>
                      <a:srgbClr val="C00000"/>
                    </a:solidFill>
                    <a:latin typeface="Anton" pitchFamily="2" charset="0"/>
                  </a:rPr>
                  <a:t>Attrition</a:t>
                </a:r>
                <a:r>
                  <a:rPr lang="en-IN" sz="2000" baseline="0">
                    <a:solidFill>
                      <a:srgbClr val="C00000"/>
                    </a:solidFill>
                    <a:latin typeface="Anton" pitchFamily="2" charset="0"/>
                  </a:rPr>
                  <a:t> Count</a:t>
                </a:r>
              </a:p>
            </c:rich>
          </c:tx>
          <c:layout>
            <c:manualLayout>
              <c:xMode val="edge"/>
              <c:yMode val="edge"/>
              <c:x val="0.41893066781449773"/>
              <c:y val="0.86227224242496658"/>
            </c:manualLayout>
          </c:layout>
          <c:overlay val="0"/>
          <c:spPr>
            <a:noFill/>
            <a:ln>
              <a:noFill/>
            </a:ln>
            <a:effectLst/>
          </c:spPr>
          <c:txPr>
            <a:bodyPr rot="0" spcFirstLastPara="1" vertOverflow="ellipsis" vert="horz" wrap="square" anchor="ctr" anchorCtr="1"/>
            <a:lstStyle/>
            <a:p>
              <a:pPr>
                <a:defRPr sz="2000" b="0" i="0" u="none" strike="noStrike" kern="1200" baseline="0">
                  <a:solidFill>
                    <a:srgbClr val="C00000"/>
                  </a:solidFill>
                  <a:latin typeface="Anton" pitchFamily="2" charset="0"/>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487204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v7.xlsx]pivot!PivotTable6</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100" b="0" i="0" u="none" strike="noStrike" kern="1200" cap="all" spc="150" normalizeH="0" baseline="0">
                  <a:solidFill>
                    <a:schemeClr val="bg2">
                      <a:lumMod val="1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lt1"/>
          </a:solidFill>
          <a:ln w="19050">
            <a:solidFill>
              <a:schemeClr val="accent1"/>
            </a:solidFill>
          </a:ln>
          <a:effectLst/>
        </c:spPr>
      </c:pivotFmt>
      <c:pivotFmt>
        <c:idx val="16"/>
        <c:spPr>
          <a:solidFill>
            <a:schemeClr val="lt1"/>
          </a:solidFill>
          <a:ln w="19050">
            <a:solidFill>
              <a:schemeClr val="accent1"/>
            </a:solidFill>
          </a:ln>
          <a:effectLst/>
        </c:spPr>
      </c:pivotFmt>
      <c:pivotFmt>
        <c:idx val="17"/>
        <c:spPr>
          <a:solidFill>
            <a:schemeClr val="lt1"/>
          </a:solidFill>
          <a:ln w="19050">
            <a:solidFill>
              <a:schemeClr val="accent1"/>
            </a:solidFill>
          </a:ln>
          <a:effectLst/>
        </c:spPr>
      </c:pivotFmt>
      <c:pivotFmt>
        <c:idx val="18"/>
        <c:spPr>
          <a:solidFill>
            <a:schemeClr val="lt1"/>
          </a:solidFill>
          <a:ln w="19050">
            <a:solidFill>
              <a:schemeClr val="accent1"/>
            </a:solidFill>
          </a:ln>
          <a:effectLst/>
        </c:spPr>
      </c:pivotFmt>
      <c:pivotFmt>
        <c:idx val="19"/>
        <c:spPr>
          <a:solidFill>
            <a:schemeClr val="lt1"/>
          </a:solidFill>
          <a:ln w="19050">
            <a:solidFill>
              <a:schemeClr val="accent1"/>
            </a:solidFill>
          </a:ln>
          <a:effectLst/>
        </c:spPr>
      </c:pivotFmt>
      <c:pivotFmt>
        <c:idx val="20"/>
        <c:spPr>
          <a:solidFill>
            <a:schemeClr val="lt1"/>
          </a:solidFill>
          <a:ln w="19050">
            <a:solidFill>
              <a:schemeClr val="accent1"/>
            </a:solidFill>
          </a:ln>
          <a:effectLst/>
        </c:spPr>
      </c:pivotFmt>
      <c:pivotFmt>
        <c:idx val="21"/>
        <c:spPr>
          <a:solidFill>
            <a:schemeClr val="lt1"/>
          </a:solidFill>
          <a:ln w="19050">
            <a:solidFill>
              <a:schemeClr val="accent1"/>
            </a:solidFill>
          </a:ln>
          <a:effectLst/>
        </c:spPr>
      </c:pivotFmt>
      <c:pivotFmt>
        <c:idx val="22"/>
        <c:spPr>
          <a:solidFill>
            <a:schemeClr val="lt1"/>
          </a:solidFill>
          <a:ln w="19050">
            <a:solidFill>
              <a:schemeClr val="accent1"/>
            </a:solidFill>
          </a:ln>
          <a:effectLst/>
        </c:spPr>
      </c:pivotFmt>
      <c:pivotFmt>
        <c:idx val="23"/>
        <c:spPr>
          <a:solidFill>
            <a:schemeClr val="lt1"/>
          </a:solidFill>
          <a:ln w="19050">
            <a:solidFill>
              <a:schemeClr val="accent1"/>
            </a:solidFill>
          </a:ln>
          <a:effectLst/>
        </c:spPr>
      </c:pivotFmt>
      <c:pivotFmt>
        <c:idx val="24"/>
        <c:spPr>
          <a:solidFill>
            <a:schemeClr val="lt1"/>
          </a:solidFill>
          <a:ln w="19050">
            <a:solidFill>
              <a:schemeClr val="accent1"/>
            </a:solidFill>
          </a:ln>
          <a:effectLst/>
        </c:spPr>
      </c:pivotFmt>
      <c:pivotFmt>
        <c:idx val="25"/>
        <c:spPr>
          <a:solidFill>
            <a:schemeClr val="lt1"/>
          </a:solidFill>
          <a:ln w="19050">
            <a:solidFill>
              <a:schemeClr val="accent1"/>
            </a:solidFill>
          </a:ln>
          <a:effectLst/>
        </c:spPr>
      </c:pivotFmt>
      <c:pivotFmt>
        <c:idx val="26"/>
        <c:spPr>
          <a:solidFill>
            <a:schemeClr val="lt1"/>
          </a:solidFill>
          <a:ln w="19050">
            <a:solidFill>
              <a:schemeClr val="accent1"/>
            </a:solidFill>
          </a:ln>
          <a:effectLst/>
        </c:spPr>
      </c:pivotFmt>
      <c:pivotFmt>
        <c:idx val="27"/>
        <c:spPr>
          <a:solidFill>
            <a:schemeClr val="lt1"/>
          </a:solidFill>
          <a:ln w="19050">
            <a:solidFill>
              <a:schemeClr val="accent1"/>
            </a:solidFill>
          </a:ln>
          <a:effectLst/>
        </c:spPr>
        <c:marker>
          <c:symbol val="none"/>
        </c:marker>
        <c:dLbl>
          <c:idx val="0"/>
          <c:dLblPos val="inEnd"/>
          <c:showLegendKey val="0"/>
          <c:showVal val="1"/>
          <c:showCatName val="1"/>
          <c:showSerName val="0"/>
          <c:showPercent val="0"/>
          <c:showBubbleSize val="0"/>
          <c:extLst>
            <c:ext xmlns:c15="http://schemas.microsoft.com/office/drawing/2012/chart" uri="{CE6537A1-D6FC-4f65-9D91-7224C49458BB}"/>
          </c:extLst>
        </c:dLbl>
      </c:pivotFmt>
      <c:pivotFmt>
        <c:idx val="28"/>
        <c:spPr>
          <a:solidFill>
            <a:schemeClr val="lt1"/>
          </a:solidFill>
          <a:ln w="19050">
            <a:solidFill>
              <a:schemeClr val="accent1"/>
            </a:solidFill>
          </a:ln>
          <a:effectLst/>
        </c:spPr>
        <c:marker>
          <c:symbol val="none"/>
        </c:marker>
        <c:dLbl>
          <c:idx val="0"/>
          <c:dLblPos val="inEnd"/>
          <c:showLegendKey val="0"/>
          <c:showVal val="1"/>
          <c:showCatName val="1"/>
          <c:showSerName val="0"/>
          <c:showPercent val="0"/>
          <c:showBubbleSize val="0"/>
          <c:extLst>
            <c:ext xmlns:c15="http://schemas.microsoft.com/office/drawing/2012/chart" uri="{CE6537A1-D6FC-4f65-9D91-7224C49458BB}"/>
          </c:extLst>
        </c:dLbl>
      </c:pivotFmt>
      <c:pivotFmt>
        <c:idx val="29"/>
        <c:spPr>
          <a:solidFill>
            <a:schemeClr val="lt1"/>
          </a:solidFill>
          <a:ln w="19050">
            <a:solidFill>
              <a:schemeClr val="accent1"/>
            </a:solidFill>
          </a:ln>
          <a:effectLst/>
        </c:spPr>
        <c:marker>
          <c:symbol val="none"/>
        </c:marker>
        <c:dLbl>
          <c:idx val="0"/>
          <c:dLblPos val="inEnd"/>
          <c:showLegendKey val="0"/>
          <c:showVal val="1"/>
          <c:showCatName val="1"/>
          <c:showSerName val="0"/>
          <c:showPercent val="0"/>
          <c:showBubbleSize val="0"/>
          <c:extLst>
            <c:ext xmlns:c15="http://schemas.microsoft.com/office/drawing/2012/chart" uri="{CE6537A1-D6FC-4f65-9D91-7224C49458BB}"/>
          </c:extLst>
        </c:dLbl>
      </c:pivotFmt>
      <c:pivotFmt>
        <c:idx val="30"/>
        <c:spPr>
          <a:solidFill>
            <a:schemeClr val="lt1"/>
          </a:solidFill>
          <a:ln w="19050">
            <a:solidFill>
              <a:schemeClr val="accent1"/>
            </a:solidFill>
          </a:ln>
          <a:effectLst/>
        </c:spPr>
        <c:marker>
          <c:symbol val="none"/>
        </c:marker>
        <c:dLbl>
          <c:idx val="0"/>
          <c:dLblPos val="inEnd"/>
          <c:showLegendKey val="0"/>
          <c:showVal val="1"/>
          <c:showCatName val="1"/>
          <c:showSerName val="0"/>
          <c:showPercent val="0"/>
          <c:showBubbleSize val="0"/>
          <c:extLst>
            <c:ext xmlns:c15="http://schemas.microsoft.com/office/drawing/2012/chart" uri="{CE6537A1-D6FC-4f65-9D91-7224C49458BB}"/>
          </c:extLst>
        </c:dLbl>
      </c:pivotFmt>
      <c:pivotFmt>
        <c:idx val="31"/>
        <c:spPr>
          <a:solidFill>
            <a:schemeClr val="lt1"/>
          </a:solidFill>
          <a:ln w="19050">
            <a:solidFill>
              <a:schemeClr val="accent1"/>
            </a:solidFill>
          </a:ln>
          <a:effectLst/>
        </c:spPr>
        <c:marker>
          <c:symbol val="none"/>
        </c:marker>
        <c:dLbl>
          <c:idx val="0"/>
          <c:dLblPos val="inEnd"/>
          <c:showLegendKey val="0"/>
          <c:showVal val="1"/>
          <c:showCatName val="1"/>
          <c:showSerName val="0"/>
          <c:showPercent val="0"/>
          <c:showBubbleSize val="0"/>
          <c:extLst>
            <c:ext xmlns:c15="http://schemas.microsoft.com/office/drawing/2012/chart" uri="{CE6537A1-D6FC-4f65-9D91-7224C49458BB}"/>
          </c:extLst>
        </c:dLbl>
      </c:pivotFmt>
      <c:pivotFmt>
        <c:idx val="32"/>
        <c:spPr>
          <a:solidFill>
            <a:schemeClr val="lt1"/>
          </a:solidFill>
          <a:ln w="19050">
            <a:solidFill>
              <a:schemeClr val="accent1"/>
            </a:solidFill>
          </a:ln>
          <a:effectLst/>
        </c:spPr>
        <c:marker>
          <c:symbol val="none"/>
        </c:marker>
        <c:dLbl>
          <c:idx val="0"/>
          <c:dLblPos val="inEnd"/>
          <c:showLegendKey val="0"/>
          <c:showVal val="1"/>
          <c:showCatName val="1"/>
          <c:showSerName val="0"/>
          <c:showPercent val="0"/>
          <c:showBubbleSize val="0"/>
          <c:extLst>
            <c:ext xmlns:c15="http://schemas.microsoft.com/office/drawing/2012/chart" uri="{CE6537A1-D6FC-4f65-9D91-7224C49458BB}"/>
          </c:extLst>
        </c:dLbl>
      </c:pivotFmt>
      <c:pivotFmt>
        <c:idx val="33"/>
        <c:spPr>
          <a:solidFill>
            <a:schemeClr val="lt1"/>
          </a:solidFill>
          <a:ln w="19050">
            <a:solidFill>
              <a:schemeClr val="accent1"/>
            </a:solidFill>
          </a:ln>
          <a:effectLst/>
        </c:spPr>
        <c:marker>
          <c:symbol val="none"/>
        </c:marker>
        <c:dLbl>
          <c:idx val="0"/>
          <c:dLblPos val="inEnd"/>
          <c:showLegendKey val="0"/>
          <c:showVal val="1"/>
          <c:showCatName val="1"/>
          <c:showSerName val="0"/>
          <c:showPercent val="0"/>
          <c:showBubbleSize val="0"/>
          <c:extLst>
            <c:ext xmlns:c15="http://schemas.microsoft.com/office/drawing/2012/chart" uri="{CE6537A1-D6FC-4f65-9D91-7224C49458BB}"/>
          </c:extLst>
        </c:dLbl>
      </c:pivotFmt>
      <c:pivotFmt>
        <c:idx val="34"/>
        <c:spPr>
          <a:solidFill>
            <a:schemeClr val="lt1"/>
          </a:solidFill>
          <a:ln w="19050">
            <a:solidFill>
              <a:schemeClr val="accent1"/>
            </a:solidFill>
          </a:ln>
          <a:effectLst/>
        </c:spPr>
        <c:marker>
          <c:symbol val="none"/>
        </c:marker>
        <c:dLbl>
          <c:idx val="0"/>
          <c:dLblPos val="inEnd"/>
          <c:showLegendKey val="0"/>
          <c:showVal val="1"/>
          <c:showCatName val="1"/>
          <c:showSerName val="0"/>
          <c:showPercent val="0"/>
          <c:showBubbleSize val="0"/>
          <c:extLst>
            <c:ext xmlns:c15="http://schemas.microsoft.com/office/drawing/2012/chart" uri="{CE6537A1-D6FC-4f65-9D91-7224C49458BB}"/>
          </c:extLst>
        </c:dLbl>
      </c:pivotFmt>
      <c:pivotFmt>
        <c:idx val="35"/>
        <c:spPr>
          <a:solidFill>
            <a:schemeClr val="lt1"/>
          </a:solidFill>
          <a:ln w="19050">
            <a:solidFill>
              <a:schemeClr val="accent1"/>
            </a:solidFill>
          </a:ln>
          <a:effectLst/>
        </c:spPr>
        <c:marker>
          <c:symbol val="none"/>
        </c:marker>
        <c:dLbl>
          <c:idx val="0"/>
          <c:dLblPos val="inEnd"/>
          <c:showLegendKey val="0"/>
          <c:showVal val="1"/>
          <c:showCatName val="1"/>
          <c:showSerName val="0"/>
          <c:showPercent val="0"/>
          <c:showBubbleSize val="0"/>
          <c:extLst>
            <c:ext xmlns:c15="http://schemas.microsoft.com/office/drawing/2012/chart" uri="{CE6537A1-D6FC-4f65-9D91-7224C49458BB}"/>
          </c:extLst>
        </c:dLbl>
      </c:pivotFmt>
      <c:pivotFmt>
        <c:idx val="36"/>
        <c:spPr>
          <a:solidFill>
            <a:schemeClr val="lt1"/>
          </a:solidFill>
          <a:ln w="19050">
            <a:solidFill>
              <a:schemeClr val="accent1"/>
            </a:solidFill>
          </a:ln>
          <a:effectLst/>
        </c:spPr>
        <c:marker>
          <c:symbol val="none"/>
        </c:marker>
        <c:dLbl>
          <c:idx val="0"/>
          <c:dLblPos val="inEnd"/>
          <c:showLegendKey val="0"/>
          <c:showVal val="1"/>
          <c:showCatName val="1"/>
          <c:showSerName val="0"/>
          <c:showPercent val="0"/>
          <c:showBubbleSize val="0"/>
          <c:extLst>
            <c:ext xmlns:c15="http://schemas.microsoft.com/office/drawing/2012/chart" uri="{CE6537A1-D6FC-4f65-9D91-7224C49458BB}"/>
          </c:extLst>
        </c:dLbl>
      </c:pivotFmt>
      <c:pivotFmt>
        <c:idx val="37"/>
        <c:spPr>
          <a:solidFill>
            <a:schemeClr val="lt1"/>
          </a:solidFill>
          <a:ln w="19050">
            <a:solidFill>
              <a:schemeClr val="accent1"/>
            </a:solidFill>
          </a:ln>
          <a:effectLst/>
        </c:spPr>
        <c:marker>
          <c:symbol val="none"/>
        </c:marker>
        <c:dLbl>
          <c:idx val="0"/>
          <c:dLblPos val="inEnd"/>
          <c:showLegendKey val="0"/>
          <c:showVal val="1"/>
          <c:showCatName val="1"/>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6511758443923912"/>
          <c:y val="4.0485176274292968E-2"/>
          <c:w val="0.50142165682392614"/>
          <c:h val="0.78771693113524088"/>
        </c:manualLayout>
      </c:layout>
      <c:barChart>
        <c:barDir val="bar"/>
        <c:grouping val="stacked"/>
        <c:varyColors val="0"/>
        <c:ser>
          <c:idx val="0"/>
          <c:order val="0"/>
          <c:tx>
            <c:strRef>
              <c:f>pivot!$H$2</c:f>
              <c:strCache>
                <c:ptCount val="1"/>
                <c:pt idx="0">
                  <c:v>Total</c:v>
                </c:pt>
              </c:strCache>
            </c:strRef>
          </c:tx>
          <c:spPr>
            <a:solidFill>
              <a:schemeClr val="lt1"/>
            </a:solidFill>
            <a:ln w="19050">
              <a:solidFill>
                <a:schemeClr val="accent1"/>
              </a:solidFill>
            </a:ln>
            <a:effectLst/>
          </c:spPr>
          <c:invertIfNegative val="0"/>
          <c:cat>
            <c:strRef>
              <c:f>pivot!$G$3:$G$15</c:f>
              <c:strCache>
                <c:ptCount val="12"/>
                <c:pt idx="0">
                  <c:v>Operations Executive</c:v>
                </c:pt>
                <c:pt idx="1">
                  <c:v>Sales Executive</c:v>
                </c:pt>
                <c:pt idx="2">
                  <c:v>Sales Manager</c:v>
                </c:pt>
                <c:pt idx="3">
                  <c:v>Accountant</c:v>
                </c:pt>
                <c:pt idx="4">
                  <c:v>Marketing Executive</c:v>
                </c:pt>
                <c:pt idx="5">
                  <c:v>Financial Analyst</c:v>
                </c:pt>
                <c:pt idx="6">
                  <c:v>Software Engineer</c:v>
                </c:pt>
                <c:pt idx="7">
                  <c:v>Digital Marketer</c:v>
                </c:pt>
                <c:pt idx="8">
                  <c:v>Operations Manager</c:v>
                </c:pt>
                <c:pt idx="9">
                  <c:v>HR Executive</c:v>
                </c:pt>
                <c:pt idx="10">
                  <c:v>Data Analyst</c:v>
                </c:pt>
                <c:pt idx="11">
                  <c:v>Recruiter</c:v>
                </c:pt>
              </c:strCache>
            </c:strRef>
          </c:cat>
          <c:val>
            <c:numRef>
              <c:f>pivot!$H$3:$H$15</c:f>
              <c:numCache>
                <c:formatCode>General</c:formatCode>
                <c:ptCount val="12"/>
                <c:pt idx="0">
                  <c:v>9</c:v>
                </c:pt>
                <c:pt idx="1">
                  <c:v>5</c:v>
                </c:pt>
                <c:pt idx="2">
                  <c:v>5</c:v>
                </c:pt>
                <c:pt idx="3">
                  <c:v>5</c:v>
                </c:pt>
                <c:pt idx="4">
                  <c:v>5</c:v>
                </c:pt>
                <c:pt idx="5">
                  <c:v>4</c:v>
                </c:pt>
                <c:pt idx="6">
                  <c:v>4</c:v>
                </c:pt>
                <c:pt idx="7">
                  <c:v>4</c:v>
                </c:pt>
                <c:pt idx="8">
                  <c:v>3</c:v>
                </c:pt>
                <c:pt idx="9">
                  <c:v>2</c:v>
                </c:pt>
                <c:pt idx="10">
                  <c:v>2</c:v>
                </c:pt>
                <c:pt idx="11">
                  <c:v>2</c:v>
                </c:pt>
              </c:numCache>
            </c:numRef>
          </c:val>
          <c:extLst>
            <c:ext xmlns:c16="http://schemas.microsoft.com/office/drawing/2014/chart" uri="{C3380CC4-5D6E-409C-BE32-E72D297353CC}">
              <c16:uniqueId val="{00000018-5DA7-4FAC-ACF7-365B9F3CF231}"/>
            </c:ext>
          </c:extLst>
        </c:ser>
        <c:dLbls>
          <c:showLegendKey val="0"/>
          <c:showVal val="0"/>
          <c:showCatName val="0"/>
          <c:showSerName val="0"/>
          <c:showPercent val="0"/>
          <c:showBubbleSize val="0"/>
        </c:dLbls>
        <c:gapWidth val="100"/>
        <c:overlap val="100"/>
        <c:axId val="388768175"/>
        <c:axId val="388769615"/>
      </c:barChart>
      <c:catAx>
        <c:axId val="388768175"/>
        <c:scaling>
          <c:orientation val="minMax"/>
        </c:scaling>
        <c:delete val="0"/>
        <c:axPos val="l"/>
        <c:title>
          <c:tx>
            <c:rich>
              <a:bodyPr rot="-5400000" spcFirstLastPara="1" vertOverflow="ellipsis" vert="horz" wrap="square" anchor="ctr" anchorCtr="1"/>
              <a:lstStyle/>
              <a:p>
                <a:pPr algn="ctr">
                  <a:defRPr lang="en-IN" sz="2000" b="0" i="0" u="none" strike="noStrike" kern="1200" cap="all" spc="150" normalizeH="0" baseline="0">
                    <a:solidFill>
                      <a:schemeClr val="bg2">
                        <a:lumMod val="10000"/>
                      </a:schemeClr>
                    </a:solidFill>
                    <a:latin typeface="+mn-lt"/>
                    <a:ea typeface="+mn-ea"/>
                    <a:cs typeface="+mn-cs"/>
                  </a:defRPr>
                </a:pPr>
                <a:r>
                  <a:rPr lang="en-IN" sz="2000" b="0" i="0" u="none" strike="noStrike" kern="1200" cap="all" spc="150" normalizeH="0" baseline="0">
                    <a:solidFill>
                      <a:schemeClr val="bg2">
                        <a:lumMod val="10000"/>
                      </a:schemeClr>
                    </a:solidFill>
                    <a:latin typeface="+mn-lt"/>
                    <a:ea typeface="+mn-ea"/>
                    <a:cs typeface="+mn-cs"/>
                  </a:rPr>
                  <a:t>Jobs</a:t>
                </a:r>
              </a:p>
            </c:rich>
          </c:tx>
          <c:layout>
            <c:manualLayout>
              <c:xMode val="edge"/>
              <c:yMode val="edge"/>
              <c:x val="4.5105810675102782E-2"/>
              <c:y val="0.35603806659595405"/>
            </c:manualLayout>
          </c:layout>
          <c:overlay val="0"/>
          <c:spPr>
            <a:noFill/>
            <a:ln>
              <a:noFill/>
            </a:ln>
            <a:effectLst/>
          </c:spPr>
          <c:txPr>
            <a:bodyPr rot="-5400000" spcFirstLastPara="1" vertOverflow="ellipsis" vert="horz" wrap="square" anchor="ctr" anchorCtr="1"/>
            <a:lstStyle/>
            <a:p>
              <a:pPr algn="ctr">
                <a:defRPr lang="en-IN" sz="2000" b="0" i="0" u="none" strike="noStrike" kern="1200" cap="all" spc="150" normalizeH="0" baseline="0">
                  <a:solidFill>
                    <a:schemeClr val="bg2">
                      <a:lumMod val="10000"/>
                    </a:schemeClr>
                  </a:solidFill>
                  <a:latin typeface="+mn-lt"/>
                  <a:ea typeface="+mn-ea"/>
                  <a:cs typeface="+mn-cs"/>
                </a:defRPr>
              </a:pPr>
              <a:endParaRPr lang="en-US"/>
            </a:p>
          </c:txPr>
        </c:title>
        <c:numFmt formatCode="General" sourceLinked="1"/>
        <c:majorTickMark val="out"/>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lang="en-US" sz="1100" b="0" i="0" u="none" strike="noStrike" kern="1200" cap="all" spc="150" normalizeH="0" baseline="0">
                <a:solidFill>
                  <a:schemeClr val="bg2">
                    <a:lumMod val="10000"/>
                  </a:schemeClr>
                </a:solidFill>
                <a:latin typeface="+mn-lt"/>
                <a:ea typeface="+mn-ea"/>
                <a:cs typeface="+mn-cs"/>
              </a:defRPr>
            </a:pPr>
            <a:endParaRPr lang="en-US"/>
          </a:p>
        </c:txPr>
        <c:crossAx val="388769615"/>
        <c:crosses val="autoZero"/>
        <c:auto val="1"/>
        <c:lblAlgn val="ctr"/>
        <c:lblOffset val="100"/>
        <c:noMultiLvlLbl val="0"/>
      </c:catAx>
      <c:valAx>
        <c:axId val="388769615"/>
        <c:scaling>
          <c:orientation val="minMax"/>
        </c:scaling>
        <c:delete val="0"/>
        <c:axPos val="b"/>
        <c:majorGridlines>
          <c:spPr>
            <a:ln w="9525" cap="flat" cmpd="sng" algn="ctr">
              <a:solidFill>
                <a:schemeClr val="lt1">
                  <a:alpha val="25000"/>
                </a:schemeClr>
              </a:solidFill>
              <a:round/>
            </a:ln>
            <a:effectLst/>
          </c:spPr>
        </c:majorGridlines>
        <c:title>
          <c:tx>
            <c:rich>
              <a:bodyPr rot="0" spcFirstLastPara="1" vertOverflow="ellipsis" vert="horz" wrap="square" anchor="ctr" anchorCtr="1"/>
              <a:lstStyle/>
              <a:p>
                <a:pPr algn="ctr">
                  <a:defRPr lang="en-IN" sz="1100" b="0" i="0" u="none" strike="noStrike" kern="1200" cap="all" spc="150" normalizeH="0" baseline="0">
                    <a:solidFill>
                      <a:schemeClr val="bg2">
                        <a:lumMod val="10000"/>
                      </a:schemeClr>
                    </a:solidFill>
                    <a:latin typeface="+mn-lt"/>
                    <a:ea typeface="+mn-ea"/>
                    <a:cs typeface="+mn-cs"/>
                  </a:defRPr>
                </a:pPr>
                <a:r>
                  <a:rPr lang="en-IN" sz="1100" b="0" i="0" u="none" strike="noStrike" kern="1200" cap="all" spc="150" normalizeH="0" baseline="0">
                    <a:solidFill>
                      <a:schemeClr val="bg2">
                        <a:lumMod val="10000"/>
                      </a:schemeClr>
                    </a:solidFill>
                    <a:latin typeface="+mn-lt"/>
                    <a:ea typeface="+mn-ea"/>
                    <a:cs typeface="+mn-cs"/>
                  </a:rPr>
                  <a:t>No of employees</a:t>
                </a:r>
              </a:p>
            </c:rich>
          </c:tx>
          <c:layout>
            <c:manualLayout>
              <c:xMode val="edge"/>
              <c:yMode val="edge"/>
              <c:x val="0.51532133423119064"/>
              <c:y val="0.91124056425777744"/>
            </c:manualLayout>
          </c:layout>
          <c:overlay val="0"/>
          <c:spPr>
            <a:noFill/>
            <a:ln>
              <a:noFill/>
            </a:ln>
            <a:effectLst/>
          </c:spPr>
          <c:txPr>
            <a:bodyPr rot="0" spcFirstLastPara="1" vertOverflow="ellipsis" vert="horz" wrap="square" anchor="ctr" anchorCtr="1"/>
            <a:lstStyle/>
            <a:p>
              <a:pPr algn="ctr">
                <a:defRPr lang="en-IN" sz="1100" b="0" i="0" u="none" strike="noStrike" kern="1200" cap="all" spc="150" normalizeH="0" baseline="0">
                  <a:solidFill>
                    <a:schemeClr val="bg2">
                      <a:lumMod val="10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lang="en-US" sz="1100" b="0" i="0" u="none" strike="noStrike" kern="1200" cap="all" spc="150" normalizeH="0" baseline="0">
                <a:solidFill>
                  <a:schemeClr val="bg2">
                    <a:lumMod val="10000"/>
                  </a:schemeClr>
                </a:solidFill>
                <a:latin typeface="+mn-lt"/>
                <a:ea typeface="+mn-ea"/>
                <a:cs typeface="+mn-cs"/>
              </a:defRPr>
            </a:pPr>
            <a:endParaRPr lang="en-US"/>
          </a:p>
        </c:txPr>
        <c:crossAx val="388768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a:outerShdw blurRad="63500" sx="102000" sy="102000" algn="ctr" rotWithShape="0">
        <a:prstClr val="black">
          <a:alpha val="40000"/>
        </a:prstClr>
      </a:outerShdw>
    </a:effectLst>
  </c:spPr>
  <c:txPr>
    <a:bodyPr/>
    <a:lstStyle/>
    <a:p>
      <a:pPr algn="ctr">
        <a:defRPr lang="en-US" sz="1100" b="0" i="0" u="none" strike="noStrike" kern="1200" cap="all" spc="150" normalizeH="0" baseline="0">
          <a:solidFill>
            <a:schemeClr val="bg2">
              <a:lumMod val="10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v7.xlsx]pivot!PivotTable4</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rgbClr val="FF0000"/>
          </a:solidFill>
          <a:ln w="19050">
            <a:solidFill>
              <a:schemeClr val="lt1"/>
            </a:solidFill>
          </a:ln>
          <a:effectLst/>
        </c:spPr>
      </c:pivotFmt>
    </c:pivotFmts>
    <c:plotArea>
      <c:layout/>
      <c:pieChart>
        <c:varyColors val="1"/>
        <c:ser>
          <c:idx val="0"/>
          <c:order val="0"/>
          <c:tx>
            <c:strRef>
              <c:f>pivot!$E$1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046-464F-90C6-537E8FBDF29A}"/>
              </c:ext>
            </c:extLst>
          </c:dPt>
          <c:dPt>
            <c:idx val="1"/>
            <c:bubble3D val="0"/>
            <c:spPr>
              <a:solidFill>
                <a:srgbClr val="FF0000"/>
              </a:solidFill>
              <a:ln w="19050">
                <a:solidFill>
                  <a:schemeClr val="lt1"/>
                </a:solidFill>
              </a:ln>
              <a:effectLst/>
            </c:spPr>
            <c:extLst>
              <c:ext xmlns:c16="http://schemas.microsoft.com/office/drawing/2014/chart" uri="{C3380CC4-5D6E-409C-BE32-E72D297353CC}">
                <c16:uniqueId val="{00000003-D046-464F-90C6-537E8FBDF29A}"/>
              </c:ext>
            </c:extLst>
          </c:dPt>
          <c:cat>
            <c:strRef>
              <c:f>pivot!$D$2:$D$4</c:f>
              <c:strCache>
                <c:ptCount val="2"/>
                <c:pt idx="0">
                  <c:v>Married</c:v>
                </c:pt>
                <c:pt idx="1">
                  <c:v>Unmarried</c:v>
                </c:pt>
              </c:strCache>
            </c:strRef>
          </c:cat>
          <c:val>
            <c:numRef>
              <c:f>pivot!$E$2:$E$4</c:f>
              <c:numCache>
                <c:formatCode>General</c:formatCode>
                <c:ptCount val="2"/>
                <c:pt idx="0">
                  <c:v>13</c:v>
                </c:pt>
                <c:pt idx="1">
                  <c:v>37</c:v>
                </c:pt>
              </c:numCache>
            </c:numRef>
          </c:val>
          <c:extLst>
            <c:ext xmlns:c16="http://schemas.microsoft.com/office/drawing/2014/chart" uri="{C3380CC4-5D6E-409C-BE32-E72D297353CC}">
              <c16:uniqueId val="{00000004-D046-464F-90C6-537E8FBDF29A}"/>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0991203944259176"/>
          <c:y val="0.27087434248615311"/>
          <c:w val="0.38527474551546687"/>
          <c:h val="0.55261745149707142"/>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v7.xlsx]pivot!PivotTable3</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072254914788149"/>
          <c:y val="0.12657417101106849"/>
          <c:w val="0.78073405037868682"/>
          <c:h val="0.70577154362834271"/>
        </c:manualLayout>
      </c:layout>
      <c:barChart>
        <c:barDir val="bar"/>
        <c:grouping val="clustered"/>
        <c:varyColors val="0"/>
        <c:ser>
          <c:idx val="0"/>
          <c:order val="0"/>
          <c:tx>
            <c:strRef>
              <c:f>pivot!$B$16</c:f>
              <c:strCache>
                <c:ptCount val="1"/>
                <c:pt idx="0">
                  <c:v>Total</c:v>
                </c:pt>
              </c:strCache>
            </c:strRef>
          </c:tx>
          <c:spPr>
            <a:solidFill>
              <a:schemeClr val="accent6">
                <a:lumMod val="60000"/>
                <a:lumOff val="40000"/>
              </a:schemeClr>
            </a:solidFill>
            <a:ln>
              <a:noFill/>
            </a:ln>
            <a:effectLst/>
          </c:spPr>
          <c:invertIfNegative val="0"/>
          <c:cat>
            <c:strRef>
              <c:f>pivot!$A$17:$A$23</c:f>
              <c:strCache>
                <c:ptCount val="6"/>
                <c:pt idx="0">
                  <c:v>Operations</c:v>
                </c:pt>
                <c:pt idx="1">
                  <c:v>Sales Depo</c:v>
                </c:pt>
                <c:pt idx="2">
                  <c:v>Marketing</c:v>
                </c:pt>
                <c:pt idx="3">
                  <c:v>Finance</c:v>
                </c:pt>
                <c:pt idx="4">
                  <c:v>IT</c:v>
                </c:pt>
                <c:pt idx="5">
                  <c:v>HR</c:v>
                </c:pt>
              </c:strCache>
            </c:strRef>
          </c:cat>
          <c:val>
            <c:numRef>
              <c:f>pivot!$B$17:$B$23</c:f>
              <c:numCache>
                <c:formatCode>General</c:formatCode>
                <c:ptCount val="6"/>
                <c:pt idx="0">
                  <c:v>12</c:v>
                </c:pt>
                <c:pt idx="1">
                  <c:v>10</c:v>
                </c:pt>
                <c:pt idx="2">
                  <c:v>9</c:v>
                </c:pt>
                <c:pt idx="3">
                  <c:v>8</c:v>
                </c:pt>
                <c:pt idx="4">
                  <c:v>7</c:v>
                </c:pt>
                <c:pt idx="5">
                  <c:v>4</c:v>
                </c:pt>
              </c:numCache>
            </c:numRef>
          </c:val>
          <c:extLst>
            <c:ext xmlns:c16="http://schemas.microsoft.com/office/drawing/2014/chart" uri="{C3380CC4-5D6E-409C-BE32-E72D297353CC}">
              <c16:uniqueId val="{00000000-CE3A-46D0-8873-4C67AA7CE3BB}"/>
            </c:ext>
          </c:extLst>
        </c:ser>
        <c:dLbls>
          <c:showLegendKey val="0"/>
          <c:showVal val="0"/>
          <c:showCatName val="0"/>
          <c:showSerName val="0"/>
          <c:showPercent val="0"/>
          <c:showBubbleSize val="0"/>
        </c:dLbls>
        <c:gapWidth val="182"/>
        <c:axId val="545458480"/>
        <c:axId val="545455120"/>
      </c:barChart>
      <c:catAx>
        <c:axId val="545458480"/>
        <c:scaling>
          <c:orientation val="minMax"/>
        </c:scaling>
        <c:delete val="0"/>
        <c:axPos val="l"/>
        <c:title>
          <c:tx>
            <c:rich>
              <a:bodyPr rot="-5400000" spcFirstLastPara="1" vertOverflow="ellipsis" vert="horz" wrap="square" anchor="ctr" anchorCtr="1"/>
              <a:lstStyle/>
              <a:p>
                <a:pPr algn="ctr" rtl="0">
                  <a:defRPr lang="en-IN" sz="2000" b="0" i="0" u="none" strike="noStrike" kern="1200" baseline="0">
                    <a:solidFill>
                      <a:schemeClr val="accent6">
                        <a:lumMod val="50000"/>
                      </a:schemeClr>
                    </a:solidFill>
                    <a:latin typeface="Anton" pitchFamily="2" charset="0"/>
                    <a:ea typeface="+mn-ea"/>
                    <a:cs typeface="+mn-cs"/>
                  </a:defRPr>
                </a:pPr>
                <a:r>
                  <a:rPr lang="en-IN" sz="2000" b="0" i="0" u="none" strike="noStrike" kern="1200" baseline="0">
                    <a:solidFill>
                      <a:schemeClr val="accent6">
                        <a:lumMod val="50000"/>
                      </a:schemeClr>
                    </a:solidFill>
                    <a:latin typeface="Anton" pitchFamily="2" charset="0"/>
                    <a:ea typeface="+mn-ea"/>
                    <a:cs typeface="+mn-cs"/>
                  </a:rPr>
                  <a:t>Departments</a:t>
                </a:r>
              </a:p>
            </c:rich>
          </c:tx>
          <c:layout>
            <c:manualLayout>
              <c:xMode val="edge"/>
              <c:yMode val="edge"/>
              <c:x val="1.9376571133492251E-2"/>
              <c:y val="0.34380444166067503"/>
            </c:manualLayout>
          </c:layout>
          <c:overlay val="0"/>
          <c:spPr>
            <a:noFill/>
            <a:ln>
              <a:noFill/>
            </a:ln>
            <a:effectLst/>
          </c:spPr>
          <c:txPr>
            <a:bodyPr rot="-5400000" spcFirstLastPara="1" vertOverflow="ellipsis" vert="horz" wrap="square" anchor="ctr" anchorCtr="1"/>
            <a:lstStyle/>
            <a:p>
              <a:pPr algn="ctr" rtl="0">
                <a:defRPr lang="en-IN" sz="2000" b="0" i="0" u="none" strike="noStrike" kern="1200" baseline="0">
                  <a:solidFill>
                    <a:schemeClr val="accent6">
                      <a:lumMod val="50000"/>
                    </a:schemeClr>
                  </a:solidFill>
                  <a:latin typeface="Anton" pitchFamily="2" charset="0"/>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545455120"/>
        <c:crosses val="autoZero"/>
        <c:auto val="1"/>
        <c:lblAlgn val="ctr"/>
        <c:lblOffset val="100"/>
        <c:noMultiLvlLbl val="0"/>
      </c:catAx>
      <c:valAx>
        <c:axId val="5454551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lang="en-IN" sz="2000" b="0" i="0" u="none" strike="noStrike" kern="1200" baseline="0">
                    <a:solidFill>
                      <a:schemeClr val="accent6">
                        <a:lumMod val="50000"/>
                      </a:schemeClr>
                    </a:solidFill>
                    <a:latin typeface="Anton" pitchFamily="2" charset="0"/>
                    <a:ea typeface="Calibri"/>
                    <a:cs typeface="Calibri"/>
                  </a:defRPr>
                </a:pPr>
                <a:r>
                  <a:rPr lang="en-IN" sz="2000" b="0" i="0" u="none" strike="noStrike" baseline="0">
                    <a:solidFill>
                      <a:schemeClr val="accent6">
                        <a:lumMod val="50000"/>
                      </a:schemeClr>
                    </a:solidFill>
                    <a:latin typeface="Anton" pitchFamily="2" charset="0"/>
                    <a:ea typeface="Calibri"/>
                    <a:cs typeface="Calibri"/>
                  </a:rPr>
                  <a:t>No of Employee </a:t>
                </a:r>
              </a:p>
            </c:rich>
          </c:tx>
          <c:layout>
            <c:manualLayout>
              <c:xMode val="edge"/>
              <c:yMode val="edge"/>
              <c:x val="0.38709322787755013"/>
              <c:y val="0.89012673711169898"/>
            </c:manualLayout>
          </c:layout>
          <c:overlay val="0"/>
          <c:spPr>
            <a:noFill/>
            <a:ln>
              <a:noFill/>
            </a:ln>
            <a:effectLst/>
          </c:spPr>
          <c:txPr>
            <a:bodyPr rot="0" spcFirstLastPara="1" vertOverflow="ellipsis" vert="horz" wrap="square" anchor="ctr" anchorCtr="1"/>
            <a:lstStyle/>
            <a:p>
              <a:pPr>
                <a:defRPr lang="en-IN" sz="2000" b="0" i="0" u="none" strike="noStrike" kern="1200" baseline="0">
                  <a:solidFill>
                    <a:schemeClr val="accent6">
                      <a:lumMod val="50000"/>
                    </a:schemeClr>
                  </a:solidFill>
                  <a:latin typeface="Anton" pitchFamily="2" charset="0"/>
                  <a:ea typeface="Calibri"/>
                  <a:cs typeface="Calibri"/>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5458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v7.xlsx]pivot!PivotTable5</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rgbClr val="FF0000"/>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rgbClr val="FF0000"/>
          </a:solidFill>
          <a:ln w="19050">
            <a:noFill/>
          </a:ln>
          <a:effectLst/>
        </c:spPr>
      </c:pivotFmt>
      <c:pivotFmt>
        <c:idx val="6"/>
        <c:spPr>
          <a:solidFill>
            <a:schemeClr val="bg1">
              <a:lumMod val="85000"/>
            </a:schemeClr>
          </a:solidFill>
          <a:ln w="19050">
            <a:noFill/>
          </a:ln>
          <a:effectLst/>
        </c:spPr>
      </c:pivotFmt>
    </c:pivotFmts>
    <c:plotArea>
      <c:layout>
        <c:manualLayout>
          <c:layoutTarget val="inner"/>
          <c:xMode val="edge"/>
          <c:yMode val="edge"/>
          <c:x val="0.24041666666666667"/>
          <c:y val="0.10984848484848483"/>
          <c:w val="0.53166666666666662"/>
          <c:h val="0.80555555555555558"/>
        </c:manualLayout>
      </c:layout>
      <c:doughnutChart>
        <c:varyColors val="1"/>
        <c:ser>
          <c:idx val="0"/>
          <c:order val="0"/>
          <c:tx>
            <c:strRef>
              <c:f>pivot!$E$7</c:f>
              <c:strCache>
                <c:ptCount val="1"/>
                <c:pt idx="0">
                  <c:v>Total</c:v>
                </c:pt>
              </c:strCache>
            </c:strRef>
          </c:tx>
          <c:spPr>
            <a:solidFill>
              <a:srgbClr val="FF0000"/>
            </a:solidFill>
            <a:ln w="19050">
              <a:noFill/>
            </a:ln>
            <a:effectLst/>
          </c:spPr>
          <c:dPt>
            <c:idx val="0"/>
            <c:bubble3D val="0"/>
            <c:spPr>
              <a:solidFill>
                <a:srgbClr val="FF0000"/>
              </a:solidFill>
              <a:ln w="19050">
                <a:noFill/>
              </a:ln>
              <a:effectLst/>
            </c:spPr>
            <c:extLst>
              <c:ext xmlns:c16="http://schemas.microsoft.com/office/drawing/2014/chart" uri="{C3380CC4-5D6E-409C-BE32-E72D297353CC}">
                <c16:uniqueId val="{00000001-E176-4D2F-9FEB-145D8B0121F6}"/>
              </c:ext>
            </c:extLst>
          </c:dPt>
          <c:dPt>
            <c:idx val="1"/>
            <c:bubble3D val="0"/>
            <c:spPr>
              <a:solidFill>
                <a:schemeClr val="bg1">
                  <a:lumMod val="85000"/>
                </a:schemeClr>
              </a:solidFill>
              <a:ln w="19050">
                <a:noFill/>
              </a:ln>
              <a:effectLst/>
            </c:spPr>
            <c:extLst>
              <c:ext xmlns:c16="http://schemas.microsoft.com/office/drawing/2014/chart" uri="{C3380CC4-5D6E-409C-BE32-E72D297353CC}">
                <c16:uniqueId val="{00000003-E176-4D2F-9FEB-145D8B0121F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pivot!$D$8:$D$10</c:f>
              <c:strCache>
                <c:ptCount val="2"/>
                <c:pt idx="0">
                  <c:v>Yes</c:v>
                </c:pt>
                <c:pt idx="1">
                  <c:v>No</c:v>
                </c:pt>
              </c:strCache>
            </c:strRef>
          </c:cat>
          <c:val>
            <c:numRef>
              <c:f>pivot!$E$8:$E$10</c:f>
              <c:numCache>
                <c:formatCode>0%</c:formatCode>
                <c:ptCount val="2"/>
                <c:pt idx="0">
                  <c:v>0.2</c:v>
                </c:pt>
                <c:pt idx="1">
                  <c:v>0.8</c:v>
                </c:pt>
              </c:numCache>
            </c:numRef>
          </c:val>
          <c:extLst>
            <c:ext xmlns:c16="http://schemas.microsoft.com/office/drawing/2014/chart" uri="{C3380CC4-5D6E-409C-BE32-E72D297353CC}">
              <c16:uniqueId val="{00000004-E176-4D2F-9FEB-145D8B0121F6}"/>
            </c:ext>
          </c:extLst>
        </c:ser>
        <c:dLbls>
          <c:showLegendKey val="0"/>
          <c:showVal val="0"/>
          <c:showCatName val="1"/>
          <c:showSerName val="0"/>
          <c:showPercent val="1"/>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53340</xdr:colOff>
      <xdr:row>0</xdr:row>
      <xdr:rowOff>53340</xdr:rowOff>
    </xdr:from>
    <xdr:to>
      <xdr:col>35</xdr:col>
      <xdr:colOff>441960</xdr:colOff>
      <xdr:row>5</xdr:row>
      <xdr:rowOff>7620</xdr:rowOff>
    </xdr:to>
    <xdr:sp macro="" textlink="">
      <xdr:nvSpPr>
        <xdr:cNvPr id="2" name="Rectangle: Rounded Corners 1">
          <a:extLst>
            <a:ext uri="{FF2B5EF4-FFF2-40B4-BE49-F238E27FC236}">
              <a16:creationId xmlns:a16="http://schemas.microsoft.com/office/drawing/2014/main" id="{8624DA81-7597-6160-E6B8-5F98E5C2C80B}"/>
            </a:ext>
          </a:extLst>
        </xdr:cNvPr>
        <xdr:cNvSpPr/>
      </xdr:nvSpPr>
      <xdr:spPr>
        <a:xfrm>
          <a:off x="53340" y="53340"/>
          <a:ext cx="21724620" cy="868680"/>
        </a:xfrm>
        <a:prstGeom prst="roundRect">
          <a:avLst/>
        </a:prstGeom>
        <a:solidFill>
          <a:schemeClr val="tx2">
            <a:lumMod val="75000"/>
          </a:schemeClr>
        </a:solidFill>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556260</xdr:colOff>
      <xdr:row>0</xdr:row>
      <xdr:rowOff>45720</xdr:rowOff>
    </xdr:from>
    <xdr:to>
      <xdr:col>19</xdr:col>
      <xdr:colOff>563880</xdr:colOff>
      <xdr:row>3</xdr:row>
      <xdr:rowOff>83820</xdr:rowOff>
    </xdr:to>
    <xdr:sp macro="" textlink="">
      <xdr:nvSpPr>
        <xdr:cNvPr id="3" name="TextBox 2">
          <a:extLst>
            <a:ext uri="{FF2B5EF4-FFF2-40B4-BE49-F238E27FC236}">
              <a16:creationId xmlns:a16="http://schemas.microsoft.com/office/drawing/2014/main" id="{E2CB312A-5A8E-0846-3450-2D92C6B91F0C}"/>
            </a:ext>
          </a:extLst>
        </xdr:cNvPr>
        <xdr:cNvSpPr txBox="1"/>
      </xdr:nvSpPr>
      <xdr:spPr>
        <a:xfrm>
          <a:off x="556260" y="45720"/>
          <a:ext cx="11590020" cy="586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a:solidFill>
                <a:schemeClr val="bg1"/>
              </a:solidFill>
              <a:latin typeface="Anton" pitchFamily="2" charset="0"/>
            </a:rPr>
            <a:t>HR Analytics</a:t>
          </a:r>
          <a:r>
            <a:rPr lang="en-IN" sz="2800" baseline="0">
              <a:solidFill>
                <a:schemeClr val="bg1"/>
              </a:solidFill>
              <a:effectLst/>
              <a:latin typeface="Anton" pitchFamily="2" charset="0"/>
              <a:ea typeface="+mn-ea"/>
              <a:cs typeface="+mn-cs"/>
            </a:rPr>
            <a:t> </a:t>
          </a:r>
          <a:r>
            <a:rPr lang="en-IN" sz="2800">
              <a:solidFill>
                <a:schemeClr val="bg1"/>
              </a:solidFill>
              <a:effectLst/>
              <a:latin typeface="Anton" pitchFamily="2" charset="0"/>
              <a:ea typeface="+mn-ea"/>
              <a:cs typeface="+mn-cs"/>
            </a:rPr>
            <a:t>Dashboard                                       </a:t>
          </a:r>
          <a:br>
            <a:rPr lang="en-IN" sz="2000">
              <a:solidFill>
                <a:schemeClr val="bg1"/>
              </a:solidFill>
              <a:effectLst/>
              <a:latin typeface="+mn-lt"/>
              <a:ea typeface="+mn-ea"/>
              <a:cs typeface="+mn-cs"/>
            </a:rPr>
          </a:br>
          <a:br>
            <a:rPr lang="en-IN" sz="1100">
              <a:solidFill>
                <a:schemeClr val="bg1"/>
              </a:solidFill>
            </a:rPr>
          </a:br>
          <a:r>
            <a:rPr lang="en-IN" sz="1100">
              <a:solidFill>
                <a:schemeClr val="bg1"/>
              </a:solidFill>
            </a:rPr>
            <a:t>s</a:t>
          </a:r>
        </a:p>
      </xdr:txBody>
    </xdr:sp>
    <xdr:clientData/>
  </xdr:twoCellAnchor>
  <xdr:twoCellAnchor>
    <xdr:from>
      <xdr:col>2</xdr:col>
      <xdr:colOff>167640</xdr:colOff>
      <xdr:row>3</xdr:row>
      <xdr:rowOff>22860</xdr:rowOff>
    </xdr:from>
    <xdr:to>
      <xdr:col>8</xdr:col>
      <xdr:colOff>213360</xdr:colOff>
      <xdr:row>4</xdr:row>
      <xdr:rowOff>152400</xdr:rowOff>
    </xdr:to>
    <xdr:sp macro="" textlink="">
      <xdr:nvSpPr>
        <xdr:cNvPr id="5" name="TextBox 4">
          <a:extLst>
            <a:ext uri="{FF2B5EF4-FFF2-40B4-BE49-F238E27FC236}">
              <a16:creationId xmlns:a16="http://schemas.microsoft.com/office/drawing/2014/main" id="{86FF5925-47B3-A2AB-01DE-1239793F7E52}"/>
            </a:ext>
          </a:extLst>
        </xdr:cNvPr>
        <xdr:cNvSpPr txBox="1"/>
      </xdr:nvSpPr>
      <xdr:spPr>
        <a:xfrm>
          <a:off x="1386840" y="571500"/>
          <a:ext cx="370332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chemeClr val="bg1"/>
              </a:solidFill>
              <a:effectLst/>
              <a:latin typeface="Cascadia Code" panose="020B0609020000020004" pitchFamily="49" charset="0"/>
              <a:ea typeface="Cascadia Code" panose="020B0609020000020004" pitchFamily="49" charset="0"/>
              <a:cs typeface="Cascadia Code" panose="020B0609020000020004" pitchFamily="49" charset="0"/>
            </a:rPr>
            <a:t>Overview</a:t>
          </a:r>
          <a:r>
            <a:rPr lang="en-IN" sz="1400" baseline="0">
              <a:solidFill>
                <a:schemeClr val="bg1"/>
              </a:solidFill>
              <a:effectLst/>
              <a:latin typeface="Cascadia Code" panose="020B0609020000020004" pitchFamily="49" charset="0"/>
              <a:ea typeface="Cascadia Code" panose="020B0609020000020004" pitchFamily="49" charset="0"/>
              <a:cs typeface="Cascadia Code" panose="020B0609020000020004" pitchFamily="49" charset="0"/>
            </a:rPr>
            <a:t> of Employees               </a:t>
          </a:r>
          <a:endParaRPr lang="en-IN" sz="1400">
            <a:solidFill>
              <a:schemeClr val="bg1"/>
            </a:solidFill>
            <a:latin typeface="Cascadia Code" panose="020B0609020000020004" pitchFamily="49" charset="0"/>
            <a:ea typeface="Cascadia Code" panose="020B0609020000020004" pitchFamily="49" charset="0"/>
            <a:cs typeface="Cascadia Code" panose="020B0609020000020004" pitchFamily="49" charset="0"/>
          </a:endParaRPr>
        </a:p>
      </xdr:txBody>
    </xdr:sp>
    <xdr:clientData/>
  </xdr:twoCellAnchor>
  <xdr:twoCellAnchor>
    <xdr:from>
      <xdr:col>15</xdr:col>
      <xdr:colOff>470507</xdr:colOff>
      <xdr:row>6</xdr:row>
      <xdr:rowOff>64713</xdr:rowOff>
    </xdr:from>
    <xdr:to>
      <xdr:col>20</xdr:col>
      <xdr:colOff>77338</xdr:colOff>
      <xdr:row>11</xdr:row>
      <xdr:rowOff>156153</xdr:rowOff>
    </xdr:to>
    <xdr:sp macro="" textlink="">
      <xdr:nvSpPr>
        <xdr:cNvPr id="9" name="Rectangle: Rounded Corners 8">
          <a:extLst>
            <a:ext uri="{FF2B5EF4-FFF2-40B4-BE49-F238E27FC236}">
              <a16:creationId xmlns:a16="http://schemas.microsoft.com/office/drawing/2014/main" id="{04305271-B846-6604-8F4D-248C3CE7DAE1}"/>
            </a:ext>
          </a:extLst>
        </xdr:cNvPr>
        <xdr:cNvSpPr/>
      </xdr:nvSpPr>
      <xdr:spPr>
        <a:xfrm>
          <a:off x="9682746" y="1156534"/>
          <a:ext cx="2677577" cy="1001291"/>
        </a:xfrm>
        <a:prstGeom prst="roundRect">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20</xdr:col>
      <xdr:colOff>586172</xdr:colOff>
      <xdr:row>6</xdr:row>
      <xdr:rowOff>53227</xdr:rowOff>
    </xdr:from>
    <xdr:to>
      <xdr:col>25</xdr:col>
      <xdr:colOff>220412</xdr:colOff>
      <xdr:row>11</xdr:row>
      <xdr:rowOff>129427</xdr:rowOff>
    </xdr:to>
    <xdr:sp macro="" textlink="">
      <xdr:nvSpPr>
        <xdr:cNvPr id="10" name="Rectangle: Rounded Corners 9">
          <a:extLst>
            <a:ext uri="{FF2B5EF4-FFF2-40B4-BE49-F238E27FC236}">
              <a16:creationId xmlns:a16="http://schemas.microsoft.com/office/drawing/2014/main" id="{DEF3C34F-6184-B57E-A1B6-6DC7C0983422}"/>
            </a:ext>
          </a:extLst>
        </xdr:cNvPr>
        <xdr:cNvSpPr/>
      </xdr:nvSpPr>
      <xdr:spPr>
        <a:xfrm>
          <a:off x="12869157" y="1145048"/>
          <a:ext cx="2704986" cy="986051"/>
        </a:xfrm>
        <a:prstGeom prst="roundRect">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1100">
              <a:solidFill>
                <a:schemeClr val="lt1"/>
              </a:solidFill>
              <a:latin typeface="+mn-lt"/>
              <a:ea typeface="+mn-ea"/>
              <a:cs typeface="+mn-cs"/>
            </a:rPr>
            <a:t>v</a:t>
          </a:r>
        </a:p>
      </xdr:txBody>
    </xdr:sp>
    <xdr:clientData/>
  </xdr:twoCellAnchor>
  <xdr:twoCellAnchor>
    <xdr:from>
      <xdr:col>10</xdr:col>
      <xdr:colOff>316059</xdr:colOff>
      <xdr:row>6</xdr:row>
      <xdr:rowOff>110207</xdr:rowOff>
    </xdr:from>
    <xdr:to>
      <xdr:col>14</xdr:col>
      <xdr:colOff>537039</xdr:colOff>
      <xdr:row>12</xdr:row>
      <xdr:rowOff>19677</xdr:rowOff>
    </xdr:to>
    <xdr:sp macro="" textlink="">
      <xdr:nvSpPr>
        <xdr:cNvPr id="11" name="Rectangle: Rounded Corners 10">
          <a:extLst>
            <a:ext uri="{FF2B5EF4-FFF2-40B4-BE49-F238E27FC236}">
              <a16:creationId xmlns:a16="http://schemas.microsoft.com/office/drawing/2014/main" id="{081DD8DD-452E-1000-710B-804636ADE316}"/>
            </a:ext>
          </a:extLst>
        </xdr:cNvPr>
        <xdr:cNvSpPr/>
      </xdr:nvSpPr>
      <xdr:spPr>
        <a:xfrm>
          <a:off x="6457552" y="1202028"/>
          <a:ext cx="2677577" cy="1001291"/>
        </a:xfrm>
        <a:prstGeom prst="roundRect">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5</xdr:col>
      <xdr:colOff>294678</xdr:colOff>
      <xdr:row>6</xdr:row>
      <xdr:rowOff>72333</xdr:rowOff>
    </xdr:from>
    <xdr:to>
      <xdr:col>9</xdr:col>
      <xdr:colOff>520207</xdr:colOff>
      <xdr:row>11</xdr:row>
      <xdr:rowOff>163773</xdr:rowOff>
    </xdr:to>
    <xdr:sp macro="" textlink="">
      <xdr:nvSpPr>
        <xdr:cNvPr id="12" name="Rectangle: Rounded Corners 11">
          <a:extLst>
            <a:ext uri="{FF2B5EF4-FFF2-40B4-BE49-F238E27FC236}">
              <a16:creationId xmlns:a16="http://schemas.microsoft.com/office/drawing/2014/main" id="{7F4DC95A-C2C5-A199-F65E-5540FCF5D1A6}"/>
            </a:ext>
          </a:extLst>
        </xdr:cNvPr>
        <xdr:cNvSpPr/>
      </xdr:nvSpPr>
      <xdr:spPr>
        <a:xfrm>
          <a:off x="3365424" y="1164154"/>
          <a:ext cx="2682126" cy="1001291"/>
        </a:xfrm>
        <a:prstGeom prst="roundRect">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0</xdr:col>
      <xdr:colOff>304118</xdr:colOff>
      <xdr:row>6</xdr:row>
      <xdr:rowOff>83707</xdr:rowOff>
    </xdr:from>
    <xdr:to>
      <xdr:col>4</xdr:col>
      <xdr:colOff>525098</xdr:colOff>
      <xdr:row>11</xdr:row>
      <xdr:rowOff>175147</xdr:rowOff>
    </xdr:to>
    <xdr:sp macro="" textlink="">
      <xdr:nvSpPr>
        <xdr:cNvPr id="13" name="Rectangle: Rounded Corners 12">
          <a:extLst>
            <a:ext uri="{FF2B5EF4-FFF2-40B4-BE49-F238E27FC236}">
              <a16:creationId xmlns:a16="http://schemas.microsoft.com/office/drawing/2014/main" id="{74DAF527-8835-AFFE-5B0D-66E280E62048}"/>
            </a:ext>
          </a:extLst>
        </xdr:cNvPr>
        <xdr:cNvSpPr/>
      </xdr:nvSpPr>
      <xdr:spPr>
        <a:xfrm>
          <a:off x="304118" y="1175528"/>
          <a:ext cx="2677577" cy="1001291"/>
        </a:xfrm>
        <a:prstGeom prst="roundRect">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333230</xdr:colOff>
      <xdr:row>6</xdr:row>
      <xdr:rowOff>116530</xdr:rowOff>
    </xdr:from>
    <xdr:to>
      <xdr:col>5</xdr:col>
      <xdr:colOff>70338</xdr:colOff>
      <xdr:row>10</xdr:row>
      <xdr:rowOff>140676</xdr:rowOff>
    </xdr:to>
    <xdr:sp macro="" textlink="KPI!A3">
      <xdr:nvSpPr>
        <xdr:cNvPr id="14" name="TextBox 13">
          <a:extLst>
            <a:ext uri="{FF2B5EF4-FFF2-40B4-BE49-F238E27FC236}">
              <a16:creationId xmlns:a16="http://schemas.microsoft.com/office/drawing/2014/main" id="{A5C5088F-5363-94AA-E7AF-A62D5440931A}"/>
            </a:ext>
          </a:extLst>
        </xdr:cNvPr>
        <xdr:cNvSpPr txBox="1"/>
      </xdr:nvSpPr>
      <xdr:spPr>
        <a:xfrm>
          <a:off x="333230" y="1241945"/>
          <a:ext cx="2785108" cy="7744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0" i="0" u="none" strike="noStrike">
              <a:solidFill>
                <a:schemeClr val="accent1">
                  <a:lumMod val="75000"/>
                </a:schemeClr>
              </a:solidFill>
              <a:latin typeface="Anton" pitchFamily="2" charset="0"/>
              <a:ea typeface="Calibri"/>
              <a:cs typeface="Calibri"/>
            </a:rPr>
            <a:t>💵💵 Average</a:t>
          </a:r>
          <a:r>
            <a:rPr lang="en-IN" sz="2000" b="0" i="0" u="none" strike="noStrike" baseline="0">
              <a:solidFill>
                <a:schemeClr val="accent1">
                  <a:lumMod val="75000"/>
                </a:schemeClr>
              </a:solidFill>
              <a:latin typeface="Anton" pitchFamily="2" charset="0"/>
              <a:ea typeface="Calibri"/>
              <a:cs typeface="Calibri"/>
            </a:rPr>
            <a:t> Salary</a:t>
          </a:r>
          <a:endParaRPr lang="en-US" sz="2000" b="0" i="0" u="none" strike="noStrike">
            <a:solidFill>
              <a:schemeClr val="accent1">
                <a:lumMod val="75000"/>
              </a:schemeClr>
            </a:solidFill>
            <a:latin typeface="Anton" pitchFamily="2" charset="0"/>
            <a:ea typeface="Calibri"/>
            <a:cs typeface="Calibri"/>
          </a:endParaRPr>
        </a:p>
        <a:p>
          <a:endParaRPr lang="en-IN" sz="2000">
            <a:solidFill>
              <a:schemeClr val="accent1">
                <a:lumMod val="75000"/>
              </a:schemeClr>
            </a:solidFill>
            <a:latin typeface="Anton" pitchFamily="2" charset="0"/>
          </a:endParaRPr>
        </a:p>
      </xdr:txBody>
    </xdr:sp>
    <xdr:clientData/>
  </xdr:twoCellAnchor>
  <xdr:twoCellAnchor>
    <xdr:from>
      <xdr:col>1</xdr:col>
      <xdr:colOff>302091</xdr:colOff>
      <xdr:row>9</xdr:row>
      <xdr:rowOff>6422</xdr:rowOff>
    </xdr:from>
    <xdr:to>
      <xdr:col>5</xdr:col>
      <xdr:colOff>4074</xdr:colOff>
      <xdr:row>11</xdr:row>
      <xdr:rowOff>6421</xdr:rowOff>
    </xdr:to>
    <xdr:sp macro="" textlink="KPI!B3">
      <xdr:nvSpPr>
        <xdr:cNvPr id="15" name="TextBox 14">
          <a:extLst>
            <a:ext uri="{FF2B5EF4-FFF2-40B4-BE49-F238E27FC236}">
              <a16:creationId xmlns:a16="http://schemas.microsoft.com/office/drawing/2014/main" id="{2AF909B7-A540-793C-112E-DCFA0A67830E}"/>
            </a:ext>
          </a:extLst>
        </xdr:cNvPr>
        <xdr:cNvSpPr txBox="1"/>
      </xdr:nvSpPr>
      <xdr:spPr>
        <a:xfrm>
          <a:off x="916240" y="1644153"/>
          <a:ext cx="2158580" cy="363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4724B36-C9A0-4864-8F38-A0B88E943720}" type="TxLink">
            <a:rPr lang="en-US" sz="2400" b="0" i="0" u="none" strike="noStrike">
              <a:solidFill>
                <a:schemeClr val="tx1"/>
              </a:solidFill>
              <a:latin typeface="Barlow Condensed SemiBold" panose="00000706000000000000" pitchFamily="2" charset="0"/>
              <a:ea typeface="STHupo" panose="02010800040101010101" pitchFamily="2" charset="-122"/>
              <a:cs typeface="Cascadia Code" panose="020B0609020000020004" pitchFamily="49" charset="0"/>
            </a:rPr>
            <a:pPr/>
            <a:t>₹ 89,200</a:t>
          </a:fld>
          <a:endParaRPr lang="en-IN" sz="2400">
            <a:solidFill>
              <a:schemeClr val="tx1"/>
            </a:solidFill>
            <a:latin typeface="Barlow Condensed SemiBold" panose="00000706000000000000" pitchFamily="2" charset="0"/>
            <a:ea typeface="STHupo" panose="02010800040101010101" pitchFamily="2" charset="-122"/>
            <a:cs typeface="Cascadia Code" panose="020B0609020000020004" pitchFamily="49" charset="0"/>
          </a:endParaRPr>
        </a:p>
      </xdr:txBody>
    </xdr:sp>
    <xdr:clientData/>
  </xdr:twoCellAnchor>
  <xdr:twoCellAnchor>
    <xdr:from>
      <xdr:col>7</xdr:col>
      <xdr:colOff>155697</xdr:colOff>
      <xdr:row>8</xdr:row>
      <xdr:rowOff>149544</xdr:rowOff>
    </xdr:from>
    <xdr:to>
      <xdr:col>8</xdr:col>
      <xdr:colOff>288558</xdr:colOff>
      <xdr:row>10</xdr:row>
      <xdr:rowOff>157622</xdr:rowOff>
    </xdr:to>
    <xdr:sp macro="" textlink="">
      <xdr:nvSpPr>
        <xdr:cNvPr id="16" name="TextBox 15">
          <a:extLst>
            <a:ext uri="{FF2B5EF4-FFF2-40B4-BE49-F238E27FC236}">
              <a16:creationId xmlns:a16="http://schemas.microsoft.com/office/drawing/2014/main" id="{23459287-928B-501C-569D-C8E5090A4DAF}"/>
            </a:ext>
          </a:extLst>
        </xdr:cNvPr>
        <xdr:cNvSpPr txBox="1"/>
      </xdr:nvSpPr>
      <xdr:spPr>
        <a:xfrm>
          <a:off x="4454742" y="1605305"/>
          <a:ext cx="747010" cy="3720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2400" b="0" i="0" u="none" strike="noStrike">
              <a:solidFill>
                <a:schemeClr val="tx1"/>
              </a:solidFill>
              <a:latin typeface="Barlow Condensed SemiBold" panose="00000706000000000000" pitchFamily="2" charset="0"/>
              <a:ea typeface="STHupo" panose="02010800040101010101" pitchFamily="2" charset="-122"/>
              <a:cs typeface="Cascadia Code" panose="020B0609020000020004" pitchFamily="49" charset="0"/>
            </a:rPr>
            <a:t>20%</a:t>
          </a:r>
        </a:p>
        <a:p>
          <a:pPr marL="0" indent="0"/>
          <a:endParaRPr lang="en-US" sz="2400" b="0" i="0" u="none" strike="noStrike">
            <a:solidFill>
              <a:schemeClr val="tx1"/>
            </a:solidFill>
            <a:latin typeface="Barlow Condensed SemiBold" panose="00000706000000000000" pitchFamily="2" charset="0"/>
            <a:ea typeface="STHupo" panose="02010800040101010101" pitchFamily="2" charset="-122"/>
            <a:cs typeface="Cascadia Code" panose="020B0609020000020004" pitchFamily="49" charset="0"/>
          </a:endParaRPr>
        </a:p>
      </xdr:txBody>
    </xdr:sp>
    <xdr:clientData/>
  </xdr:twoCellAnchor>
  <xdr:twoCellAnchor>
    <xdr:from>
      <xdr:col>12</xdr:col>
      <xdr:colOff>19758</xdr:colOff>
      <xdr:row>9</xdr:row>
      <xdr:rowOff>21003</xdr:rowOff>
    </xdr:from>
    <xdr:to>
      <xdr:col>15</xdr:col>
      <xdr:colOff>335890</xdr:colOff>
      <xdr:row>11</xdr:row>
      <xdr:rowOff>21002</xdr:rowOff>
    </xdr:to>
    <xdr:sp macro="" textlink="">
      <xdr:nvSpPr>
        <xdr:cNvPr id="17" name="TextBox 16">
          <a:extLst>
            <a:ext uri="{FF2B5EF4-FFF2-40B4-BE49-F238E27FC236}">
              <a16:creationId xmlns:a16="http://schemas.microsoft.com/office/drawing/2014/main" id="{9CF5755D-3563-799A-3ED8-CA8633EC4B99}"/>
            </a:ext>
          </a:extLst>
        </xdr:cNvPr>
        <xdr:cNvSpPr txBox="1"/>
      </xdr:nvSpPr>
      <xdr:spPr>
        <a:xfrm>
          <a:off x="7389549" y="1658734"/>
          <a:ext cx="2158580" cy="363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2400" b="0" i="0" u="none" strike="noStrike">
              <a:solidFill>
                <a:schemeClr val="tx1"/>
              </a:solidFill>
              <a:latin typeface="Barlow Condensed SemiBold" panose="00000706000000000000" pitchFamily="2" charset="0"/>
              <a:ea typeface="STHupo" panose="02010800040101010101" pitchFamily="2" charset="-122"/>
              <a:cs typeface="Cascadia Code" panose="020B0609020000020004" pitchFamily="49" charset="0"/>
            </a:rPr>
            <a:t>3/5</a:t>
          </a:r>
        </a:p>
      </xdr:txBody>
    </xdr:sp>
    <xdr:clientData/>
  </xdr:twoCellAnchor>
  <xdr:twoCellAnchor>
    <xdr:from>
      <xdr:col>17</xdr:col>
      <xdr:colOff>227889</xdr:colOff>
      <xdr:row>8</xdr:row>
      <xdr:rowOff>131412</xdr:rowOff>
    </xdr:from>
    <xdr:to>
      <xdr:col>20</xdr:col>
      <xdr:colOff>552479</xdr:colOff>
      <xdr:row>10</xdr:row>
      <xdr:rowOff>131412</xdr:rowOff>
    </xdr:to>
    <xdr:sp macro="" textlink="KPI!B6">
      <xdr:nvSpPr>
        <xdr:cNvPr id="18" name="TextBox 17">
          <a:extLst>
            <a:ext uri="{FF2B5EF4-FFF2-40B4-BE49-F238E27FC236}">
              <a16:creationId xmlns:a16="http://schemas.microsoft.com/office/drawing/2014/main" id="{27DA6FF9-6236-1543-D5BF-44EF1BCB76C4}"/>
            </a:ext>
          </a:extLst>
        </xdr:cNvPr>
        <xdr:cNvSpPr txBox="1"/>
      </xdr:nvSpPr>
      <xdr:spPr>
        <a:xfrm>
          <a:off x="10668426" y="1587173"/>
          <a:ext cx="2167038" cy="363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030A57A-1825-4C08-ABED-32955ACDBC08}" type="TxLink">
            <a:rPr lang="en-US" sz="2400" b="0" i="0" u="none" strike="noStrike">
              <a:solidFill>
                <a:schemeClr val="tx1"/>
              </a:solidFill>
              <a:latin typeface="Barlow Condensed SemiBold" panose="00000706000000000000" pitchFamily="2" charset="0"/>
              <a:ea typeface="STHupo" panose="02010800040101010101" pitchFamily="2" charset="-122"/>
              <a:cs typeface="Cascadia Code" panose="020B0609020000020004" pitchFamily="49" charset="0"/>
            </a:rPr>
            <a:pPr marL="0" indent="0"/>
            <a:t>50</a:t>
          </a:fld>
          <a:endParaRPr lang="en-IN" sz="2400" b="0" i="0" u="none" strike="noStrike">
            <a:solidFill>
              <a:schemeClr val="tx1"/>
            </a:solidFill>
            <a:latin typeface="Barlow Condensed SemiBold" panose="00000706000000000000" pitchFamily="2" charset="0"/>
            <a:ea typeface="STHupo" panose="02010800040101010101" pitchFamily="2" charset="-122"/>
            <a:cs typeface="Cascadia Code" panose="020B0609020000020004" pitchFamily="49" charset="0"/>
          </a:endParaRPr>
        </a:p>
      </xdr:txBody>
    </xdr:sp>
    <xdr:clientData/>
  </xdr:twoCellAnchor>
  <xdr:twoCellAnchor>
    <xdr:from>
      <xdr:col>22</xdr:col>
      <xdr:colOff>393244</xdr:colOff>
      <xdr:row>8</xdr:row>
      <xdr:rowOff>151310</xdr:rowOff>
    </xdr:from>
    <xdr:to>
      <xdr:col>26</xdr:col>
      <xdr:colOff>107592</xdr:colOff>
      <xdr:row>10</xdr:row>
      <xdr:rowOff>151310</xdr:rowOff>
    </xdr:to>
    <xdr:sp macro="" textlink="KPI!B7">
      <xdr:nvSpPr>
        <xdr:cNvPr id="19" name="TextBox 18">
          <a:extLst>
            <a:ext uri="{FF2B5EF4-FFF2-40B4-BE49-F238E27FC236}">
              <a16:creationId xmlns:a16="http://schemas.microsoft.com/office/drawing/2014/main" id="{F679242C-19FE-2C6F-6B32-C94E9E5AB3EB}"/>
            </a:ext>
          </a:extLst>
        </xdr:cNvPr>
        <xdr:cNvSpPr txBox="1"/>
      </xdr:nvSpPr>
      <xdr:spPr>
        <a:xfrm>
          <a:off x="13904528" y="1607071"/>
          <a:ext cx="2170945" cy="363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45A1AAD-2A8A-4316-AF6C-869D82E96D7A}" type="TxLink">
            <a:rPr lang="en-US" sz="2400" b="0" i="0" u="none" strike="noStrike">
              <a:solidFill>
                <a:schemeClr val="tx1"/>
              </a:solidFill>
              <a:latin typeface="Barlow Condensed SemiBold" panose="00000706000000000000" pitchFamily="2" charset="0"/>
              <a:ea typeface="STHupo" panose="02010800040101010101" pitchFamily="2" charset="-122"/>
              <a:cs typeface="Cascadia Code" panose="020B0609020000020004" pitchFamily="49" charset="0"/>
            </a:rPr>
            <a:pPr marL="0" indent="0"/>
            <a:t>4</a:t>
          </a:fld>
          <a:endParaRPr lang="en-IN" sz="2400" b="0" i="0" u="none" strike="noStrike">
            <a:solidFill>
              <a:schemeClr val="tx1"/>
            </a:solidFill>
            <a:latin typeface="Barlow Condensed SemiBold" panose="00000706000000000000" pitchFamily="2" charset="0"/>
            <a:ea typeface="STHupo" panose="02010800040101010101" pitchFamily="2" charset="-122"/>
            <a:cs typeface="Cascadia Code" panose="020B0609020000020004" pitchFamily="49" charset="0"/>
          </a:endParaRPr>
        </a:p>
      </xdr:txBody>
    </xdr:sp>
    <xdr:clientData/>
  </xdr:twoCellAnchor>
  <xdr:twoCellAnchor>
    <xdr:from>
      <xdr:col>5</xdr:col>
      <xdr:colOff>499815</xdr:colOff>
      <xdr:row>6</xdr:row>
      <xdr:rowOff>110670</xdr:rowOff>
    </xdr:from>
    <xdr:to>
      <xdr:col>10</xdr:col>
      <xdr:colOff>15240</xdr:colOff>
      <xdr:row>12</xdr:row>
      <xdr:rowOff>91440</xdr:rowOff>
    </xdr:to>
    <xdr:sp macro="" textlink="KPI!A4">
      <xdr:nvSpPr>
        <xdr:cNvPr id="20" name="TextBox 19">
          <a:extLst>
            <a:ext uri="{FF2B5EF4-FFF2-40B4-BE49-F238E27FC236}">
              <a16:creationId xmlns:a16="http://schemas.microsoft.com/office/drawing/2014/main" id="{DAD6A208-2126-084B-4C2D-725AE3D9181D}"/>
            </a:ext>
          </a:extLst>
        </xdr:cNvPr>
        <xdr:cNvSpPr txBox="1"/>
      </xdr:nvSpPr>
      <xdr:spPr>
        <a:xfrm>
          <a:off x="3547815" y="1207950"/>
          <a:ext cx="2563425" cy="1078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2000" b="0" i="0" u="none" strike="noStrike">
              <a:solidFill>
                <a:schemeClr val="accent1">
                  <a:lumMod val="75000"/>
                </a:schemeClr>
              </a:solidFill>
              <a:latin typeface="Anton" pitchFamily="2" charset="0"/>
              <a:ea typeface="Calibri"/>
              <a:cs typeface="Calibri"/>
            </a:rPr>
            <a:t>🛅Attrition</a:t>
          </a:r>
          <a:r>
            <a:rPr lang="en-IN" sz="2000" b="0" i="0" u="none" strike="noStrike" baseline="0">
              <a:solidFill>
                <a:schemeClr val="accent1">
                  <a:lumMod val="75000"/>
                </a:schemeClr>
              </a:solidFill>
              <a:latin typeface="Anton" pitchFamily="2" charset="0"/>
              <a:ea typeface="Calibri"/>
              <a:cs typeface="Calibri"/>
            </a:rPr>
            <a:t> Rate</a:t>
          </a:r>
          <a:endParaRPr lang="en-IN" sz="2000" b="0" i="0" u="none" strike="noStrike">
            <a:solidFill>
              <a:schemeClr val="accent1">
                <a:lumMod val="75000"/>
              </a:schemeClr>
            </a:solidFill>
            <a:latin typeface="Anton" pitchFamily="2" charset="0"/>
            <a:ea typeface="Calibri"/>
            <a:cs typeface="Calibri"/>
          </a:endParaRPr>
        </a:p>
      </xdr:txBody>
    </xdr:sp>
    <xdr:clientData/>
  </xdr:twoCellAnchor>
  <xdr:twoCellAnchor>
    <xdr:from>
      <xdr:col>10</xdr:col>
      <xdr:colOff>576435</xdr:colOff>
      <xdr:row>6</xdr:row>
      <xdr:rowOff>151597</xdr:rowOff>
    </xdr:from>
    <xdr:to>
      <xdr:col>14</xdr:col>
      <xdr:colOff>454515</xdr:colOff>
      <xdr:row>10</xdr:row>
      <xdr:rowOff>170745</xdr:rowOff>
    </xdr:to>
    <xdr:sp macro="" textlink="KPI!A5">
      <xdr:nvSpPr>
        <xdr:cNvPr id="21" name="TextBox 20">
          <a:extLst>
            <a:ext uri="{FF2B5EF4-FFF2-40B4-BE49-F238E27FC236}">
              <a16:creationId xmlns:a16="http://schemas.microsoft.com/office/drawing/2014/main" id="{83B12B01-4052-446C-D65E-006A9BDF7FDB}"/>
            </a:ext>
          </a:extLst>
        </xdr:cNvPr>
        <xdr:cNvSpPr txBox="1"/>
      </xdr:nvSpPr>
      <xdr:spPr>
        <a:xfrm>
          <a:off x="6717928" y="1243418"/>
          <a:ext cx="2334677" cy="7470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2000" b="0" i="0" u="none" strike="noStrike">
              <a:solidFill>
                <a:schemeClr val="accent1">
                  <a:lumMod val="75000"/>
                </a:schemeClr>
              </a:solidFill>
              <a:latin typeface="Anton" pitchFamily="2" charset="0"/>
              <a:ea typeface="Calibri"/>
              <a:cs typeface="Calibri"/>
            </a:rPr>
            <a:t>⭐Average</a:t>
          </a:r>
          <a:r>
            <a:rPr lang="en-IN" sz="2000" b="0" i="0" u="none" strike="noStrike" baseline="0">
              <a:solidFill>
                <a:schemeClr val="accent1">
                  <a:lumMod val="75000"/>
                </a:schemeClr>
              </a:solidFill>
              <a:latin typeface="Anton" pitchFamily="2" charset="0"/>
              <a:ea typeface="Calibri"/>
              <a:cs typeface="Calibri"/>
            </a:rPr>
            <a:t> Rating</a:t>
          </a:r>
        </a:p>
        <a:p>
          <a:pPr marL="0" indent="0"/>
          <a:endParaRPr lang="en-IN" sz="2000" b="0" i="0" u="none" strike="noStrike">
            <a:solidFill>
              <a:schemeClr val="accent1">
                <a:lumMod val="75000"/>
              </a:schemeClr>
            </a:solidFill>
            <a:latin typeface="Anton" pitchFamily="2" charset="0"/>
            <a:ea typeface="Calibri"/>
            <a:cs typeface="Calibri"/>
          </a:endParaRPr>
        </a:p>
      </xdr:txBody>
    </xdr:sp>
    <xdr:clientData/>
  </xdr:twoCellAnchor>
  <xdr:twoCellAnchor>
    <xdr:from>
      <xdr:col>15</xdr:col>
      <xdr:colOff>602196</xdr:colOff>
      <xdr:row>6</xdr:row>
      <xdr:rowOff>33451</xdr:rowOff>
    </xdr:from>
    <xdr:to>
      <xdr:col>19</xdr:col>
      <xdr:colOff>480276</xdr:colOff>
      <xdr:row>8</xdr:row>
      <xdr:rowOff>157911</xdr:rowOff>
    </xdr:to>
    <xdr:sp macro="" textlink="KPI!A6">
      <xdr:nvSpPr>
        <xdr:cNvPr id="22" name="TextBox 21">
          <a:extLst>
            <a:ext uri="{FF2B5EF4-FFF2-40B4-BE49-F238E27FC236}">
              <a16:creationId xmlns:a16="http://schemas.microsoft.com/office/drawing/2014/main" id="{3C71810C-EF1A-8F4E-08B1-E600F633860A}"/>
            </a:ext>
          </a:extLst>
        </xdr:cNvPr>
        <xdr:cNvSpPr txBox="1"/>
      </xdr:nvSpPr>
      <xdr:spPr>
        <a:xfrm>
          <a:off x="9814435" y="1125272"/>
          <a:ext cx="2334677" cy="488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2000" b="0" i="0" u="none" strike="noStrike">
              <a:solidFill>
                <a:schemeClr val="accent1">
                  <a:lumMod val="75000"/>
                </a:schemeClr>
              </a:solidFill>
              <a:latin typeface="Anton" pitchFamily="2" charset="0"/>
              <a:ea typeface="Calibri"/>
              <a:cs typeface="Calibri"/>
            </a:rPr>
            <a:t>👔 </a:t>
          </a:r>
          <a:fld id="{A2EA5A90-2F1D-4327-9DC8-1D6EC709CAF0}" type="TxLink">
            <a:rPr lang="en-US" sz="2000" b="0" i="0" u="none" strike="noStrike">
              <a:solidFill>
                <a:schemeClr val="accent1">
                  <a:lumMod val="75000"/>
                </a:schemeClr>
              </a:solidFill>
              <a:latin typeface="Anton" pitchFamily="2" charset="0"/>
              <a:ea typeface="Calibri"/>
              <a:cs typeface="Calibri"/>
            </a:rPr>
            <a:pPr marL="0" indent="0"/>
            <a:t>No of employee</a:t>
          </a:fld>
          <a:endParaRPr lang="en-IN" sz="2000" b="0" i="0" u="none" strike="noStrike">
            <a:solidFill>
              <a:schemeClr val="accent1">
                <a:lumMod val="75000"/>
              </a:schemeClr>
            </a:solidFill>
            <a:latin typeface="Anton" pitchFamily="2" charset="0"/>
            <a:ea typeface="Calibri"/>
            <a:cs typeface="Calibri"/>
          </a:endParaRPr>
        </a:p>
      </xdr:txBody>
    </xdr:sp>
    <xdr:clientData/>
  </xdr:twoCellAnchor>
  <xdr:twoCellAnchor>
    <xdr:from>
      <xdr:col>21</xdr:col>
      <xdr:colOff>17483</xdr:colOff>
      <xdr:row>6</xdr:row>
      <xdr:rowOff>65464</xdr:rowOff>
    </xdr:from>
    <xdr:to>
      <xdr:col>25</xdr:col>
      <xdr:colOff>304801</xdr:colOff>
      <xdr:row>11</xdr:row>
      <xdr:rowOff>11723</xdr:rowOff>
    </xdr:to>
    <xdr:sp macro="" textlink="KPI!A7">
      <xdr:nvSpPr>
        <xdr:cNvPr id="23" name="TextBox 22">
          <a:extLst>
            <a:ext uri="{FF2B5EF4-FFF2-40B4-BE49-F238E27FC236}">
              <a16:creationId xmlns:a16="http://schemas.microsoft.com/office/drawing/2014/main" id="{132180AB-1154-4CE2-4A72-05CF772E704D}"/>
            </a:ext>
          </a:extLst>
        </xdr:cNvPr>
        <xdr:cNvSpPr txBox="1"/>
      </xdr:nvSpPr>
      <xdr:spPr>
        <a:xfrm>
          <a:off x="12819083" y="1190879"/>
          <a:ext cx="2725718" cy="8841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2000" b="0" i="0" u="none" strike="noStrike">
              <a:solidFill>
                <a:schemeClr val="accent1">
                  <a:lumMod val="75000"/>
                </a:schemeClr>
              </a:solidFill>
              <a:latin typeface="Anton" pitchFamily="2" charset="0"/>
              <a:ea typeface="Calibri"/>
              <a:cs typeface="Calibri"/>
            </a:rPr>
            <a:t>🏢 Average</a:t>
          </a:r>
          <a:r>
            <a:rPr lang="en-IN" sz="2000" b="0" i="0" u="none" strike="noStrike" baseline="0">
              <a:solidFill>
                <a:schemeClr val="accent1">
                  <a:lumMod val="75000"/>
                </a:schemeClr>
              </a:solidFill>
              <a:latin typeface="Anton" pitchFamily="2" charset="0"/>
              <a:ea typeface="Calibri"/>
              <a:cs typeface="Calibri"/>
            </a:rPr>
            <a:t> Experience</a:t>
          </a:r>
          <a:endParaRPr lang="en-IN" sz="2000" b="0" i="0" u="none" strike="noStrike">
            <a:solidFill>
              <a:schemeClr val="accent1">
                <a:lumMod val="75000"/>
              </a:schemeClr>
            </a:solidFill>
            <a:latin typeface="Anton" pitchFamily="2" charset="0"/>
            <a:ea typeface="Calibri"/>
            <a:cs typeface="Calibri"/>
          </a:endParaRPr>
        </a:p>
      </xdr:txBody>
    </xdr:sp>
    <xdr:clientData/>
  </xdr:twoCellAnchor>
  <xdr:twoCellAnchor>
    <xdr:from>
      <xdr:col>0</xdr:col>
      <xdr:colOff>195384</xdr:colOff>
      <xdr:row>13</xdr:row>
      <xdr:rowOff>78155</xdr:rowOff>
    </xdr:from>
    <xdr:to>
      <xdr:col>5</xdr:col>
      <xdr:colOff>586153</xdr:colOff>
      <xdr:row>24</xdr:row>
      <xdr:rowOff>9770</xdr:rowOff>
    </xdr:to>
    <xdr:sp macro="" textlink="">
      <xdr:nvSpPr>
        <xdr:cNvPr id="25" name="Rectangle: Rounded Corners 24">
          <a:extLst>
            <a:ext uri="{FF2B5EF4-FFF2-40B4-BE49-F238E27FC236}">
              <a16:creationId xmlns:a16="http://schemas.microsoft.com/office/drawing/2014/main" id="{71CE2AE9-7571-3792-577A-663409525AF1}"/>
            </a:ext>
          </a:extLst>
        </xdr:cNvPr>
        <xdr:cNvSpPr/>
      </xdr:nvSpPr>
      <xdr:spPr>
        <a:xfrm>
          <a:off x="195384" y="2491155"/>
          <a:ext cx="3419231" cy="1973384"/>
        </a:xfrm>
        <a:prstGeom prst="roundRect">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15</xdr:row>
      <xdr:rowOff>39077</xdr:rowOff>
    </xdr:from>
    <xdr:to>
      <xdr:col>5</xdr:col>
      <xdr:colOff>400539</xdr:colOff>
      <xdr:row>23</xdr:row>
      <xdr:rowOff>146538</xdr:rowOff>
    </xdr:to>
    <xdr:graphicFrame macro="">
      <xdr:nvGraphicFramePr>
        <xdr:cNvPr id="24" name="Chart 23">
          <a:extLst>
            <a:ext uri="{FF2B5EF4-FFF2-40B4-BE49-F238E27FC236}">
              <a16:creationId xmlns:a16="http://schemas.microsoft.com/office/drawing/2014/main" id="{DCA8111F-8E40-44BC-ABC1-C12B37E700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191303</xdr:colOff>
      <xdr:row>13</xdr:row>
      <xdr:rowOff>82964</xdr:rowOff>
    </xdr:from>
    <xdr:to>
      <xdr:col>6</xdr:col>
      <xdr:colOff>15455</xdr:colOff>
      <xdr:row>16</xdr:row>
      <xdr:rowOff>27994</xdr:rowOff>
    </xdr:to>
    <xdr:sp macro="" textlink="">
      <xdr:nvSpPr>
        <xdr:cNvPr id="27" name="TextBox 26">
          <a:extLst>
            <a:ext uri="{FF2B5EF4-FFF2-40B4-BE49-F238E27FC236}">
              <a16:creationId xmlns:a16="http://schemas.microsoft.com/office/drawing/2014/main" id="{7FE8ABF6-86DE-2372-75C4-2946C05426E6}"/>
            </a:ext>
          </a:extLst>
        </xdr:cNvPr>
        <xdr:cNvSpPr txBox="1"/>
      </xdr:nvSpPr>
      <xdr:spPr>
        <a:xfrm>
          <a:off x="800903" y="2460404"/>
          <a:ext cx="2872152" cy="4936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2000" b="0" i="0" u="none" strike="noStrike">
              <a:solidFill>
                <a:schemeClr val="accent1">
                  <a:lumMod val="50000"/>
                </a:schemeClr>
              </a:solidFill>
              <a:latin typeface="Anton" pitchFamily="2" charset="0"/>
              <a:ea typeface="Calibri"/>
              <a:cs typeface="Calibri"/>
            </a:rPr>
            <a:t>Gender Distribution</a:t>
          </a:r>
        </a:p>
      </xdr:txBody>
    </xdr:sp>
    <xdr:clientData/>
  </xdr:twoCellAnchor>
  <xdr:twoCellAnchor>
    <xdr:from>
      <xdr:col>6</xdr:col>
      <xdr:colOff>352330</xdr:colOff>
      <xdr:row>13</xdr:row>
      <xdr:rowOff>41763</xdr:rowOff>
    </xdr:from>
    <xdr:to>
      <xdr:col>20</xdr:col>
      <xdr:colOff>602777</xdr:colOff>
      <xdr:row>37</xdr:row>
      <xdr:rowOff>136479</xdr:rowOff>
    </xdr:to>
    <xdr:sp macro="" textlink="">
      <xdr:nvSpPr>
        <xdr:cNvPr id="33" name="Rectangle: Rounded Corners 32">
          <a:extLst>
            <a:ext uri="{FF2B5EF4-FFF2-40B4-BE49-F238E27FC236}">
              <a16:creationId xmlns:a16="http://schemas.microsoft.com/office/drawing/2014/main" id="{57D1CB8E-C79A-2C6B-0050-97F709CA0960}"/>
            </a:ext>
          </a:extLst>
        </xdr:cNvPr>
        <xdr:cNvSpPr/>
      </xdr:nvSpPr>
      <xdr:spPr>
        <a:xfrm>
          <a:off x="4037226" y="2407375"/>
          <a:ext cx="8848536" cy="4462000"/>
        </a:xfrm>
        <a:prstGeom prst="roundRect">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26</xdr:col>
      <xdr:colOff>33437</xdr:colOff>
      <xdr:row>6</xdr:row>
      <xdr:rowOff>23656</xdr:rowOff>
    </xdr:from>
    <xdr:to>
      <xdr:col>30</xdr:col>
      <xdr:colOff>281826</xdr:colOff>
      <xdr:row>11</xdr:row>
      <xdr:rowOff>99856</xdr:rowOff>
    </xdr:to>
    <xdr:sp macro="" textlink="">
      <xdr:nvSpPr>
        <xdr:cNvPr id="35" name="Rectangle: Rounded Corners 34">
          <a:extLst>
            <a:ext uri="{FF2B5EF4-FFF2-40B4-BE49-F238E27FC236}">
              <a16:creationId xmlns:a16="http://schemas.microsoft.com/office/drawing/2014/main" id="{9D3A2831-6B81-70C1-36D4-84D2B728A22E}"/>
            </a:ext>
          </a:extLst>
        </xdr:cNvPr>
        <xdr:cNvSpPr/>
      </xdr:nvSpPr>
      <xdr:spPr>
        <a:xfrm>
          <a:off x="16001318" y="1115477"/>
          <a:ext cx="2704986" cy="986051"/>
        </a:xfrm>
        <a:prstGeom prst="roundRect">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1100">
              <a:solidFill>
                <a:schemeClr val="lt1"/>
              </a:solidFill>
              <a:latin typeface="+mn-lt"/>
              <a:ea typeface="+mn-ea"/>
              <a:cs typeface="+mn-cs"/>
            </a:rPr>
            <a:t>v</a:t>
          </a:r>
        </a:p>
      </xdr:txBody>
    </xdr:sp>
    <xdr:clientData/>
  </xdr:twoCellAnchor>
  <xdr:twoCellAnchor>
    <xdr:from>
      <xdr:col>26</xdr:col>
      <xdr:colOff>264018</xdr:colOff>
      <xdr:row>6</xdr:row>
      <xdr:rowOff>48315</xdr:rowOff>
    </xdr:from>
    <xdr:to>
      <xdr:col>30</xdr:col>
      <xdr:colOff>142098</xdr:colOff>
      <xdr:row>9</xdr:row>
      <xdr:rowOff>141318</xdr:rowOff>
    </xdr:to>
    <xdr:sp macro="" textlink="KPI!A7">
      <xdr:nvSpPr>
        <xdr:cNvPr id="36" name="TextBox 35">
          <a:extLst>
            <a:ext uri="{FF2B5EF4-FFF2-40B4-BE49-F238E27FC236}">
              <a16:creationId xmlns:a16="http://schemas.microsoft.com/office/drawing/2014/main" id="{97D9CD4F-90C5-4689-EE08-B8BA99703E3C}"/>
            </a:ext>
          </a:extLst>
        </xdr:cNvPr>
        <xdr:cNvSpPr txBox="1"/>
      </xdr:nvSpPr>
      <xdr:spPr>
        <a:xfrm>
          <a:off x="16231899" y="1140136"/>
          <a:ext cx="2334677" cy="6389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2000" b="0" i="0" u="none" strike="noStrike">
              <a:solidFill>
                <a:schemeClr val="accent1">
                  <a:lumMod val="75000"/>
                </a:schemeClr>
              </a:solidFill>
              <a:latin typeface="Anton" pitchFamily="2" charset="0"/>
              <a:ea typeface="Calibri"/>
              <a:cs typeface="Calibri"/>
            </a:rPr>
            <a:t>🛅Attrition</a:t>
          </a:r>
          <a:r>
            <a:rPr lang="en-IN" sz="2000" b="0" i="0" u="none" strike="noStrike" baseline="0">
              <a:solidFill>
                <a:schemeClr val="accent1">
                  <a:lumMod val="75000"/>
                </a:schemeClr>
              </a:solidFill>
              <a:latin typeface="Anton" pitchFamily="2" charset="0"/>
              <a:ea typeface="Calibri"/>
              <a:cs typeface="Calibri"/>
            </a:rPr>
            <a:t> Count</a:t>
          </a:r>
          <a:endParaRPr lang="en-IN" sz="2000" b="0" i="0" u="none" strike="noStrike">
            <a:solidFill>
              <a:schemeClr val="accent1">
                <a:lumMod val="75000"/>
              </a:schemeClr>
            </a:solidFill>
            <a:latin typeface="Anton" pitchFamily="2" charset="0"/>
            <a:ea typeface="Calibri"/>
            <a:cs typeface="Calibri"/>
          </a:endParaRPr>
        </a:p>
      </xdr:txBody>
    </xdr:sp>
    <xdr:clientData/>
  </xdr:twoCellAnchor>
  <xdr:twoCellAnchor>
    <xdr:from>
      <xdr:col>27</xdr:col>
      <xdr:colOff>457361</xdr:colOff>
      <xdr:row>8</xdr:row>
      <xdr:rowOff>105183</xdr:rowOff>
    </xdr:from>
    <xdr:to>
      <xdr:col>31</xdr:col>
      <xdr:colOff>335441</xdr:colOff>
      <xdr:row>12</xdr:row>
      <xdr:rowOff>16215</xdr:rowOff>
    </xdr:to>
    <xdr:sp macro="" textlink="">
      <xdr:nvSpPr>
        <xdr:cNvPr id="37" name="TextBox 36">
          <a:extLst>
            <a:ext uri="{FF2B5EF4-FFF2-40B4-BE49-F238E27FC236}">
              <a16:creationId xmlns:a16="http://schemas.microsoft.com/office/drawing/2014/main" id="{D01550D5-FF93-F686-192A-E53175711E64}"/>
            </a:ext>
          </a:extLst>
        </xdr:cNvPr>
        <xdr:cNvSpPr txBox="1"/>
      </xdr:nvSpPr>
      <xdr:spPr>
        <a:xfrm>
          <a:off x="17039391" y="1560944"/>
          <a:ext cx="2334677" cy="6389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2400" b="0" i="0" u="none" strike="noStrike">
              <a:solidFill>
                <a:schemeClr val="tx1"/>
              </a:solidFill>
              <a:latin typeface="Barlow Condensed SemiBold" panose="00000706000000000000" pitchFamily="2" charset="0"/>
              <a:ea typeface="STHupo" panose="02010800040101010101" pitchFamily="2" charset="-122"/>
              <a:cs typeface="Cascadia Code" panose="020B0609020000020004" pitchFamily="49" charset="0"/>
            </a:rPr>
            <a:t>10</a:t>
          </a:r>
        </a:p>
        <a:p>
          <a:pPr marL="0" indent="0"/>
          <a:endParaRPr lang="en-US" sz="2400" b="0" i="0" u="none" strike="noStrike">
            <a:solidFill>
              <a:schemeClr val="tx1"/>
            </a:solidFill>
            <a:latin typeface="Barlow Condensed SemiBold" panose="00000706000000000000" pitchFamily="2" charset="0"/>
            <a:ea typeface="STHupo" panose="02010800040101010101" pitchFamily="2" charset="-122"/>
            <a:cs typeface="Cascadia Code" panose="020B0609020000020004" pitchFamily="49" charset="0"/>
          </a:endParaRPr>
        </a:p>
      </xdr:txBody>
    </xdr:sp>
    <xdr:clientData/>
  </xdr:twoCellAnchor>
  <xdr:twoCellAnchor>
    <xdr:from>
      <xdr:col>6</xdr:col>
      <xdr:colOff>398060</xdr:colOff>
      <xdr:row>13</xdr:row>
      <xdr:rowOff>128196</xdr:rowOff>
    </xdr:from>
    <xdr:to>
      <xdr:col>19</xdr:col>
      <xdr:colOff>432180</xdr:colOff>
      <xdr:row>37</xdr:row>
      <xdr:rowOff>113731</xdr:rowOff>
    </xdr:to>
    <xdr:graphicFrame macro="">
      <xdr:nvGraphicFramePr>
        <xdr:cNvPr id="38" name="Chart 37">
          <a:extLst>
            <a:ext uri="{FF2B5EF4-FFF2-40B4-BE49-F238E27FC236}">
              <a16:creationId xmlns:a16="http://schemas.microsoft.com/office/drawing/2014/main" id="{F3B1D8A0-8681-4A58-AEC3-A38AE968E7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272955</xdr:colOff>
      <xdr:row>14</xdr:row>
      <xdr:rowOff>56866</xdr:rowOff>
    </xdr:from>
    <xdr:to>
      <xdr:col>30</xdr:col>
      <xdr:colOff>375310</xdr:colOff>
      <xdr:row>35</xdr:row>
      <xdr:rowOff>56867</xdr:rowOff>
    </xdr:to>
    <xdr:graphicFrame macro="">
      <xdr:nvGraphicFramePr>
        <xdr:cNvPr id="39" name="Chart 38">
          <a:extLst>
            <a:ext uri="{FF2B5EF4-FFF2-40B4-BE49-F238E27FC236}">
              <a16:creationId xmlns:a16="http://schemas.microsoft.com/office/drawing/2014/main" id="{98E5B804-03F4-4BDD-9404-956EC0923E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31</xdr:col>
      <xdr:colOff>159224</xdr:colOff>
      <xdr:row>6</xdr:row>
      <xdr:rowOff>0</xdr:rowOff>
    </xdr:from>
    <xdr:to>
      <xdr:col>34</xdr:col>
      <xdr:colOff>124621</xdr:colOff>
      <xdr:row>11</xdr:row>
      <xdr:rowOff>102359</xdr:rowOff>
    </xdr:to>
    <mc:AlternateContent xmlns:mc="http://schemas.openxmlformats.org/markup-compatibility/2006" xmlns:a14="http://schemas.microsoft.com/office/drawing/2010/main">
      <mc:Choice Requires="a14">
        <xdr:graphicFrame macro="">
          <xdr:nvGraphicFramePr>
            <xdr:cNvPr id="40" name="Gender">
              <a:extLst>
                <a:ext uri="{FF2B5EF4-FFF2-40B4-BE49-F238E27FC236}">
                  <a16:creationId xmlns:a16="http://schemas.microsoft.com/office/drawing/2014/main" id="{AF340B16-76CA-4313-88AB-B51A884CD5BA}"/>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9056824" y="1097280"/>
              <a:ext cx="1794197" cy="10167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31</xdr:col>
      <xdr:colOff>170597</xdr:colOff>
      <xdr:row>12</xdr:row>
      <xdr:rowOff>56866</xdr:rowOff>
    </xdr:from>
    <xdr:to>
      <xdr:col>34</xdr:col>
      <xdr:colOff>156949</xdr:colOff>
      <xdr:row>18</xdr:row>
      <xdr:rowOff>106140</xdr:rowOff>
    </xdr:to>
    <mc:AlternateContent xmlns:mc="http://schemas.openxmlformats.org/markup-compatibility/2006" xmlns:a14="http://schemas.microsoft.com/office/drawing/2010/main">
      <mc:Choice Requires="a14">
        <xdr:graphicFrame macro="">
          <xdr:nvGraphicFramePr>
            <xdr:cNvPr id="42" name="Marital Status">
              <a:extLst>
                <a:ext uri="{FF2B5EF4-FFF2-40B4-BE49-F238E27FC236}">
                  <a16:creationId xmlns:a16="http://schemas.microsoft.com/office/drawing/2014/main" id="{0F98BC7A-EF29-4F2F-8A35-40C22D2EDC48}"/>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19068197" y="2251426"/>
              <a:ext cx="1815152" cy="11465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31</xdr:col>
      <xdr:colOff>181968</xdr:colOff>
      <xdr:row>19</xdr:row>
      <xdr:rowOff>34118</xdr:rowOff>
    </xdr:from>
    <xdr:to>
      <xdr:col>34</xdr:col>
      <xdr:colOff>168320</xdr:colOff>
      <xdr:row>27</xdr:row>
      <xdr:rowOff>119502</xdr:rowOff>
    </xdr:to>
    <mc:AlternateContent xmlns:mc="http://schemas.openxmlformats.org/markup-compatibility/2006" xmlns:a14="http://schemas.microsoft.com/office/drawing/2010/main">
      <mc:Choice Requires="a14">
        <xdr:graphicFrame macro="">
          <xdr:nvGraphicFramePr>
            <xdr:cNvPr id="43" name="Overtime">
              <a:extLst>
                <a:ext uri="{FF2B5EF4-FFF2-40B4-BE49-F238E27FC236}">
                  <a16:creationId xmlns:a16="http://schemas.microsoft.com/office/drawing/2014/main" id="{CD5852B7-D7FE-4E56-8EDC-06F2A4E7CD56}"/>
                </a:ext>
              </a:extLst>
            </xdr:cNvPr>
            <xdr:cNvGraphicFramePr/>
          </xdr:nvGraphicFramePr>
          <xdr:xfrm>
            <a:off x="0" y="0"/>
            <a:ext cx="0" cy="0"/>
          </xdr:xfrm>
          <a:graphic>
            <a:graphicData uri="http://schemas.microsoft.com/office/drawing/2010/slicer">
              <sle:slicer xmlns:sle="http://schemas.microsoft.com/office/drawing/2010/slicer" name="Overtime"/>
            </a:graphicData>
          </a:graphic>
        </xdr:graphicFrame>
      </mc:Choice>
      <mc:Fallback xmlns="">
        <xdr:sp macro="" textlink="">
          <xdr:nvSpPr>
            <xdr:cNvPr id="0" name=""/>
            <xdr:cNvSpPr>
              <a:spLocks noTextEdit="1"/>
            </xdr:cNvSpPr>
          </xdr:nvSpPr>
          <xdr:spPr>
            <a:xfrm>
              <a:off x="19079568" y="3508838"/>
              <a:ext cx="1815152" cy="15484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245426</xdr:colOff>
      <xdr:row>25</xdr:row>
      <xdr:rowOff>139569</xdr:rowOff>
    </xdr:from>
    <xdr:to>
      <xdr:col>6</xdr:col>
      <xdr:colOff>22045</xdr:colOff>
      <xdr:row>36</xdr:row>
      <xdr:rowOff>71185</xdr:rowOff>
    </xdr:to>
    <xdr:sp macro="" textlink="">
      <xdr:nvSpPr>
        <xdr:cNvPr id="46" name="Rectangle: Rounded Corners 45">
          <a:extLst>
            <a:ext uri="{FF2B5EF4-FFF2-40B4-BE49-F238E27FC236}">
              <a16:creationId xmlns:a16="http://schemas.microsoft.com/office/drawing/2014/main" id="{CE40128A-405F-F6BC-BF88-E4119B8DAE60}"/>
            </a:ext>
          </a:extLst>
        </xdr:cNvPr>
        <xdr:cNvSpPr/>
      </xdr:nvSpPr>
      <xdr:spPr>
        <a:xfrm>
          <a:off x="245426" y="4688823"/>
          <a:ext cx="3461515" cy="1933287"/>
        </a:xfrm>
        <a:prstGeom prst="roundRect">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523162</xdr:colOff>
      <xdr:row>28</xdr:row>
      <xdr:rowOff>102358</xdr:rowOff>
    </xdr:from>
    <xdr:to>
      <xdr:col>5</xdr:col>
      <xdr:colOff>216089</xdr:colOff>
      <xdr:row>36</xdr:row>
      <xdr:rowOff>34119</xdr:rowOff>
    </xdr:to>
    <xdr:graphicFrame macro="">
      <xdr:nvGraphicFramePr>
        <xdr:cNvPr id="45" name="Chart 44">
          <a:extLst>
            <a:ext uri="{FF2B5EF4-FFF2-40B4-BE49-F238E27FC236}">
              <a16:creationId xmlns:a16="http://schemas.microsoft.com/office/drawing/2014/main" id="{2A8B45A6-CB32-405F-B83C-B255152529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184690</xdr:colOff>
      <xdr:row>38</xdr:row>
      <xdr:rowOff>137160</xdr:rowOff>
    </xdr:from>
    <xdr:to>
      <xdr:col>16</xdr:col>
      <xdr:colOff>76200</xdr:colOff>
      <xdr:row>68</xdr:row>
      <xdr:rowOff>121920</xdr:rowOff>
    </xdr:to>
    <xdr:sp macro="" textlink="">
      <xdr:nvSpPr>
        <xdr:cNvPr id="55" name="Rectangle: Rounded Corners 54">
          <a:extLst>
            <a:ext uri="{FF2B5EF4-FFF2-40B4-BE49-F238E27FC236}">
              <a16:creationId xmlns:a16="http://schemas.microsoft.com/office/drawing/2014/main" id="{AD93E1D5-D4B2-F4AF-0660-5EEB77D73C99}"/>
            </a:ext>
          </a:extLst>
        </xdr:cNvPr>
        <xdr:cNvSpPr/>
      </xdr:nvSpPr>
      <xdr:spPr>
        <a:xfrm>
          <a:off x="184690" y="7086600"/>
          <a:ext cx="9645110" cy="5471160"/>
        </a:xfrm>
        <a:prstGeom prst="roundRect">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173105</xdr:colOff>
      <xdr:row>26</xdr:row>
      <xdr:rowOff>64766</xdr:rowOff>
    </xdr:from>
    <xdr:to>
      <xdr:col>5</xdr:col>
      <xdr:colOff>611407</xdr:colOff>
      <xdr:row>29</xdr:row>
      <xdr:rowOff>9796</xdr:rowOff>
    </xdr:to>
    <xdr:sp macro="" textlink="">
      <xdr:nvSpPr>
        <xdr:cNvPr id="47" name="TextBox 46">
          <a:extLst>
            <a:ext uri="{FF2B5EF4-FFF2-40B4-BE49-F238E27FC236}">
              <a16:creationId xmlns:a16="http://schemas.microsoft.com/office/drawing/2014/main" id="{93A485E6-344D-6BEE-CE67-A95F0C461802}"/>
            </a:ext>
          </a:extLst>
        </xdr:cNvPr>
        <xdr:cNvSpPr txBox="1"/>
      </xdr:nvSpPr>
      <xdr:spPr>
        <a:xfrm>
          <a:off x="787254" y="4795990"/>
          <a:ext cx="2894899" cy="490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2000" b="0" i="0" u="none" strike="noStrike">
              <a:solidFill>
                <a:srgbClr val="FFC000"/>
              </a:solidFill>
              <a:latin typeface="Anton" pitchFamily="2" charset="0"/>
              <a:ea typeface="Calibri"/>
              <a:cs typeface="Calibri"/>
            </a:rPr>
            <a:t>MARITAL STATUS</a:t>
          </a:r>
        </a:p>
      </xdr:txBody>
    </xdr:sp>
    <xdr:clientData/>
  </xdr:twoCellAnchor>
  <xdr:twoCellAnchor>
    <xdr:from>
      <xdr:col>1</xdr:col>
      <xdr:colOff>22746</xdr:colOff>
      <xdr:row>40</xdr:row>
      <xdr:rowOff>79611</xdr:rowOff>
    </xdr:from>
    <xdr:to>
      <xdr:col>15</xdr:col>
      <xdr:colOff>466297</xdr:colOff>
      <xdr:row>67</xdr:row>
      <xdr:rowOff>45493</xdr:rowOff>
    </xdr:to>
    <xdr:graphicFrame macro="">
      <xdr:nvGraphicFramePr>
        <xdr:cNvPr id="48" name="Chart 47">
          <a:extLst>
            <a:ext uri="{FF2B5EF4-FFF2-40B4-BE49-F238E27FC236}">
              <a16:creationId xmlns:a16="http://schemas.microsoft.com/office/drawing/2014/main" id="{E1F3C23C-3B9E-4A70-9AB6-1A289C9D18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116240</xdr:colOff>
      <xdr:row>40</xdr:row>
      <xdr:rowOff>98887</xdr:rowOff>
    </xdr:from>
    <xdr:to>
      <xdr:col>11</xdr:col>
      <xdr:colOff>102358</xdr:colOff>
      <xdr:row>43</xdr:row>
      <xdr:rowOff>43917</xdr:rowOff>
    </xdr:to>
    <xdr:sp macro="" textlink="">
      <xdr:nvSpPr>
        <xdr:cNvPr id="49" name="TextBox 48">
          <a:extLst>
            <a:ext uri="{FF2B5EF4-FFF2-40B4-BE49-F238E27FC236}">
              <a16:creationId xmlns:a16="http://schemas.microsoft.com/office/drawing/2014/main" id="{918A7103-E01B-E3D8-F26C-7CFDDFA788EA}"/>
            </a:ext>
          </a:extLst>
        </xdr:cNvPr>
        <xdr:cNvSpPr txBox="1"/>
      </xdr:nvSpPr>
      <xdr:spPr>
        <a:xfrm>
          <a:off x="3186986" y="7377693"/>
          <a:ext cx="3671014" cy="490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2000" b="0" i="0" u="none" strike="noStrike">
              <a:solidFill>
                <a:schemeClr val="accent6">
                  <a:lumMod val="50000"/>
                </a:schemeClr>
              </a:solidFill>
              <a:latin typeface="Anton" pitchFamily="2" charset="0"/>
              <a:ea typeface="Calibri"/>
              <a:cs typeface="Calibri"/>
            </a:rPr>
            <a:t>No</a:t>
          </a:r>
          <a:r>
            <a:rPr lang="en-IN" sz="2000" b="0" i="0" u="none" strike="noStrike" baseline="0">
              <a:solidFill>
                <a:schemeClr val="accent6">
                  <a:lumMod val="50000"/>
                </a:schemeClr>
              </a:solidFill>
              <a:latin typeface="Anton" pitchFamily="2" charset="0"/>
              <a:ea typeface="Calibri"/>
              <a:cs typeface="Calibri"/>
            </a:rPr>
            <a:t> of Employees by Department</a:t>
          </a:r>
          <a:endParaRPr lang="en-IN" sz="2000" b="0" i="0" u="none" strike="noStrike">
            <a:solidFill>
              <a:schemeClr val="accent6">
                <a:lumMod val="50000"/>
              </a:schemeClr>
            </a:solidFill>
            <a:latin typeface="Anton" pitchFamily="2" charset="0"/>
            <a:ea typeface="Calibri"/>
            <a:cs typeface="Calibri"/>
          </a:endParaRPr>
        </a:p>
      </xdr:txBody>
    </xdr:sp>
    <xdr:clientData/>
  </xdr:twoCellAnchor>
  <xdr:twoCellAnchor>
    <xdr:from>
      <xdr:col>16</xdr:col>
      <xdr:colOff>304800</xdr:colOff>
      <xdr:row>36</xdr:row>
      <xdr:rowOff>137160</xdr:rowOff>
    </xdr:from>
    <xdr:to>
      <xdr:col>28</xdr:col>
      <xdr:colOff>426720</xdr:colOff>
      <xdr:row>66</xdr:row>
      <xdr:rowOff>15240</xdr:rowOff>
    </xdr:to>
    <xdr:graphicFrame macro="">
      <xdr:nvGraphicFramePr>
        <xdr:cNvPr id="54" name="Chart 53">
          <a:extLst>
            <a:ext uri="{FF2B5EF4-FFF2-40B4-BE49-F238E27FC236}">
              <a16:creationId xmlns:a16="http://schemas.microsoft.com/office/drawing/2014/main" id="{D6ACD91D-ECF0-44EC-A1C4-0F19230DA1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20</xdr:col>
      <xdr:colOff>160823</xdr:colOff>
      <xdr:row>48</xdr:row>
      <xdr:rowOff>128684</xdr:rowOff>
    </xdr:from>
    <xdr:to>
      <xdr:col>24</xdr:col>
      <xdr:colOff>594575</xdr:colOff>
      <xdr:row>55</xdr:row>
      <xdr:rowOff>76200</xdr:rowOff>
    </xdr:to>
    <xdr:sp macro="" textlink="">
      <xdr:nvSpPr>
        <xdr:cNvPr id="56" name="TextBox 55">
          <a:extLst>
            <a:ext uri="{FF2B5EF4-FFF2-40B4-BE49-F238E27FC236}">
              <a16:creationId xmlns:a16="http://schemas.microsoft.com/office/drawing/2014/main" id="{C8D2CD71-E680-BB1B-88D0-B0F898BEA7FF}"/>
            </a:ext>
          </a:extLst>
        </xdr:cNvPr>
        <xdr:cNvSpPr txBox="1"/>
      </xdr:nvSpPr>
      <xdr:spPr>
        <a:xfrm>
          <a:off x="12352823" y="8906924"/>
          <a:ext cx="2872152" cy="12276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100" b="1" i="0" baseline="0">
              <a:solidFill>
                <a:schemeClr val="dk1"/>
              </a:solidFill>
              <a:effectLst/>
              <a:latin typeface="+mn-lt"/>
              <a:ea typeface="+mn-ea"/>
              <a:cs typeface="+mn-cs"/>
            </a:rPr>
            <a:t> </a:t>
          </a:r>
          <a:r>
            <a:rPr lang="en-IN" sz="2000" b="1" i="0" u="none" strike="noStrike" baseline="0">
              <a:solidFill>
                <a:schemeClr val="tx1">
                  <a:lumMod val="95000"/>
                  <a:lumOff val="5000"/>
                </a:schemeClr>
              </a:solidFill>
              <a:latin typeface="+mn-lt"/>
              <a:ea typeface="Calibri"/>
              <a:cs typeface="Calibri"/>
            </a:rPr>
            <a:t>ATTRITION RATE</a:t>
          </a:r>
          <a:br>
            <a:rPr lang="en-IN" sz="2000" b="1" i="0" u="none" strike="noStrike" baseline="0">
              <a:solidFill>
                <a:schemeClr val="tx1">
                  <a:lumMod val="95000"/>
                  <a:lumOff val="5000"/>
                </a:schemeClr>
              </a:solidFill>
              <a:latin typeface="+mn-lt"/>
              <a:ea typeface="Calibri"/>
              <a:cs typeface="Calibri"/>
            </a:rPr>
          </a:br>
          <a:r>
            <a:rPr lang="en-IN" sz="2000" b="1" i="0" u="none" strike="noStrike" baseline="0">
              <a:solidFill>
                <a:srgbClr val="FF0000"/>
              </a:solidFill>
              <a:latin typeface="+mn-lt"/>
              <a:ea typeface="Calibri"/>
              <a:cs typeface="Calibri"/>
            </a:rPr>
            <a:t>  </a:t>
          </a:r>
          <a:r>
            <a:rPr lang="en-IN" sz="3200" b="1" i="0" u="none" strike="noStrike" baseline="0">
              <a:solidFill>
                <a:srgbClr val="FF0000"/>
              </a:solidFill>
              <a:latin typeface="+mn-lt"/>
              <a:ea typeface="Calibri"/>
              <a:cs typeface="Calibri"/>
            </a:rPr>
            <a:t>20%</a:t>
          </a:r>
          <a:endParaRPr lang="en-IN" sz="3200" b="1" i="0" u="none" strike="noStrike">
            <a:solidFill>
              <a:srgbClr val="FF0000"/>
            </a:solidFill>
            <a:latin typeface="+mn-lt"/>
            <a:ea typeface="Calibri"/>
            <a:cs typeface="Calibri"/>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yash Gupta" refreshedDate="46225.951062499997" backgroundQuery="1" createdVersion="8" refreshedVersion="8" minRefreshableVersion="3" recordCount="0" supportSubquery="1" supportAdvancedDrill="1" xr:uid="{8A371E73-F48C-4D6D-84D3-47C16EB780FE}">
  <cacheSource type="external" connectionId="1"/>
  <cacheFields count="1">
    <cacheField name="[Measures].[No of employee]" caption="No of employee" numFmtId="0" hierarchy="22" level="32767"/>
  </cacheFields>
  <cacheHierarchies count="33">
    <cacheHierarchy uniqueName="[Department].[Department]" caption="Department" attribute="1" defaultMemberUniqueName="[Department].[Department].[All]" allUniqueName="[Department].[Department].[All]" dimensionUniqueName="[Department]" displayFolder="" count="0" memberValueDatatype="130" unbalanced="0"/>
    <cacheHierarchy uniqueName="[Department].[Department id]" caption="Department id" attribute="1" defaultMemberUniqueName="[Department].[Department id].[All]" allUniqueName="[Department].[Department id].[All]" dimensionUniqueName="[Department]" displayFolder="" count="0" memberValueDatatype="130" unbalanced="0"/>
    <cacheHierarchy uniqueName="[Employee].[Employee name]" caption="Employee name" attribute="1" defaultMemberUniqueName="[Employee].[Employee name].[All]" allUniqueName="[Employee].[Employee name].[All]" dimensionUniqueName="[Employee]" displayFolder="" count="0" memberValueDatatype="130" unbalanced="0"/>
    <cacheHierarchy uniqueName="[Employee].[Employee id]" caption="Employee id" attribute="1" defaultMemberUniqueName="[Employee].[Employee id].[All]" allUniqueName="[Employee].[Employee id].[All]" dimensionUniqueName="[Employee]" displayFolder="" count="0" memberValueDatatype="130" unbalanced="0"/>
    <cacheHierarchy uniqueName="[Employee].[Gender]" caption="Gender" attribute="1" defaultMemberUniqueName="[Employee].[Gender].[All]" allUniqueName="[Employee].[Gender].[All]" dimensionUniqueName="[Employee]" displayFolder="" count="0" memberValueDatatype="130" unbalanced="0"/>
    <cacheHierarchy uniqueName="[Employee].[Education]" caption="Education" attribute="1" defaultMemberUniqueName="[Employee].[Education].[All]" allUniqueName="[Employee].[Education].[All]" dimensionUniqueName="[Employee]" displayFolder="" count="0" memberValueDatatype="130" unbalanced="0"/>
    <cacheHierarchy uniqueName="[Employee].[Salary]" caption="Salary" attribute="1" defaultMemberUniqueName="[Employee].[Salary].[All]" allUniqueName="[Employee].[Salary].[All]" dimensionUniqueName="[Employee]" displayFolder="" count="0" memberValueDatatype="20" unbalanced="0"/>
    <cacheHierarchy uniqueName="[Employee].[Rating]" caption="Rating" attribute="1" defaultMemberUniqueName="[Employee].[Rating].[All]" allUniqueName="[Employee].[Rating].[All]" dimensionUniqueName="[Employee]" displayFolder="" count="0" memberValueDatatype="20" unbalanced="0"/>
    <cacheHierarchy uniqueName="[Employee].[Total Year of Experience]" caption="Total Year of Experience" attribute="1" defaultMemberUniqueName="[Employee].[Total Year of Experience].[All]" allUniqueName="[Employee].[Total Year of Experience].[All]" dimensionUniqueName="[Employee]" displayFolder="" count="0" memberValueDatatype="20" unbalanced="0"/>
    <cacheHierarchy uniqueName="[Employee].[Overtime]" caption="Overtime" attribute="1" defaultMemberUniqueName="[Employee].[Overtime].[All]" allUniqueName="[Employee].[Overtime].[All]" dimensionUniqueName="[Employee]" displayFolder="" count="0" memberValueDatatype="130" unbalanced="0"/>
    <cacheHierarchy uniqueName="[Employee].[Overtime Incentive]" caption="Overtime Incentive" attribute="1" defaultMemberUniqueName="[Employee].[Overtime Incentive].[All]" allUniqueName="[Employee].[Overtime Incentive].[All]" dimensionUniqueName="[Employee]" displayFolder="" count="0" memberValueDatatype="130" unbalanced="0"/>
    <cacheHierarchy uniqueName="[Employee].[Salary ( After overtime )]" caption="Salary ( After overtime )" attribute="1" defaultMemberUniqueName="[Employee].[Salary ( After overtime )].[All]" allUniqueName="[Employee].[Salary ( After overtime )].[All]" dimensionUniqueName="[Employee]" displayFolder="" count="0" memberValueDatatype="20" unbalanced="0"/>
    <cacheHierarchy uniqueName="[Employee].[Marital Status]" caption="Marital Status" attribute="1" defaultMemberUniqueName="[Employee].[Marital Status].[All]" allUniqueName="[Employee].[Marital Status].[All]" dimensionUniqueName="[Employee]" displayFolder="" count="0" memberValueDatatype="130" unbalanced="0"/>
    <cacheHierarchy uniqueName="[JOB].[Job ID]" caption="Job ID" attribute="1" defaultMemberUniqueName="[JOB].[Job ID].[All]" allUniqueName="[JOB].[Job ID].[All]" dimensionUniqueName="[JOB]" displayFolder="" count="0" memberValueDatatype="130" unbalanced="0"/>
    <cacheHierarchy uniqueName="[JOB].[Job]" caption="Job" attribute="1" defaultMemberUniqueName="[JOB].[Job].[All]" allUniqueName="[JOB].[Job].[All]" dimensionUniqueName="[JOB]" displayFolder="" count="0" memberValueDatatype="130" unbalanced="0"/>
    <cacheHierarchy uniqueName="[Main].[Employee ID]" caption="Employee ID" attribute="1" defaultMemberUniqueName="[Main].[Employee ID].[All]" allUniqueName="[Main].[Employee ID].[All]" dimensionUniqueName="[Main]" displayFolder="" count="0" memberValueDatatype="130" unbalanced="0"/>
    <cacheHierarchy uniqueName="[Main].[Department ID]" caption="Department ID" attribute="1" defaultMemberUniqueName="[Main].[Department ID].[All]" allUniqueName="[Main].[Department ID].[All]" dimensionUniqueName="[Main]" displayFolder="" count="0" memberValueDatatype="130" unbalanced="0"/>
    <cacheHierarchy uniqueName="[Main].[JOB ID]" caption="JOB ID" attribute="1" defaultMemberUniqueName="[Main].[JOB ID].[All]" allUniqueName="[Main].[JOB ID].[All]" dimensionUniqueName="[Main]" displayFolder="" count="0" memberValueDatatype="130" unbalanced="0"/>
    <cacheHierarchy uniqueName="[Main].[Attrition]" caption="Attrition" attribute="1" defaultMemberUniqueName="[Main].[Attrition].[All]" allUniqueName="[Main].[Attrition].[All]" dimensionUniqueName="[Main]" displayFolder="" count="0" memberValueDatatype="130" unbalanced="0"/>
    <cacheHierarchy uniqueName="[Measures].[Count of Employee id]" caption="Count of Employee id" measure="1" displayFolder="" measureGroup="Employee" count="0">
      <extLst>
        <ext xmlns:x15="http://schemas.microsoft.com/office/spreadsheetml/2010/11/main" uri="{B97F6D7D-B522-45F9-BDA1-12C45D357490}">
          <x15:cacheHierarchy aggregatedColumn="3"/>
        </ext>
      </extLst>
    </cacheHierarchy>
    <cacheHierarchy uniqueName="[Measures].[Count of Department]" caption="Count of Department" measure="1" displayFolder="" measureGroup="Department" count="0">
      <extLst>
        <ext xmlns:x15="http://schemas.microsoft.com/office/spreadsheetml/2010/11/main" uri="{B97F6D7D-B522-45F9-BDA1-12C45D357490}">
          <x15:cacheHierarchy aggregatedColumn="0"/>
        </ext>
      </extLst>
    </cacheHierarchy>
    <cacheHierarchy uniqueName="[Measures].[Count of Attrition]" caption="Count of Attrition" measure="1" displayFolder="" measureGroup="Main" count="0">
      <extLst>
        <ext xmlns:x15="http://schemas.microsoft.com/office/spreadsheetml/2010/11/main" uri="{B97F6D7D-B522-45F9-BDA1-12C45D357490}">
          <x15:cacheHierarchy aggregatedColumn="18"/>
        </ext>
      </extLst>
    </cacheHierarchy>
    <cacheHierarchy uniqueName="[Measures].[No of employee]" caption="No of employee" measure="1" displayFolder="" measureGroup="Main" count="0" oneField="1">
      <fieldsUsage count="1">
        <fieldUsage x="0"/>
      </fieldsUsage>
    </cacheHierarchy>
    <cacheHierarchy uniqueName="[Measures].[Attrition Count]" caption="Attrition Count" measure="1" displayFolder="" measureGroup="Main" count="0"/>
    <cacheHierarchy uniqueName="[Measures].[Attrition Rate]" caption="Attrition Rate" measure="1" displayFolder="" measureGroup="Main" count="0"/>
    <cacheHierarchy uniqueName="[Measures].[AVG. Rating]" caption="AVG. Rating" measure="1" displayFolder="" measureGroup="Main" count="0"/>
    <cacheHierarchy uniqueName="[Measures].[Avg.Salary]" caption="Avg.Salary" measure="1" displayFolder="" measureGroup="Main" count="0"/>
    <cacheHierarchy uniqueName="[Measures].[Avg.Experience]" caption="Avg.Experience" measure="1" displayFolder="" measureGroup="Main" count="0"/>
    <cacheHierarchy uniqueName="[Measures].[__XL_Count Table1]" caption="__XL_Count Table1" measure="1" displayFolder="" measureGroup="Main" count="0" hidden="1"/>
    <cacheHierarchy uniqueName="[Measures].[__XL_Count Table2]" caption="__XL_Count Table2" measure="1" displayFolder="" measureGroup="Employee" count="0" hidden="1"/>
    <cacheHierarchy uniqueName="[Measures].[__XL_Count Table3]" caption="__XL_Count Table3" measure="1" displayFolder="" measureGroup="Department" count="0" hidden="1"/>
    <cacheHierarchy uniqueName="[Measures].[__XL_Count Table4]" caption="__XL_Count Table4" measure="1" displayFolder="" measureGroup="JOB" count="0" hidden="1"/>
    <cacheHierarchy uniqueName="[Measures].[__No measures defined]" caption="__No measures defined" measure="1" displayFolder="" count="0" hidden="1"/>
  </cacheHierarchies>
  <kpis count="0"/>
  <dimensions count="5">
    <dimension name="Department" uniqueName="[Department]" caption="Department"/>
    <dimension name="Employee" uniqueName="[Employee]" caption="Employee"/>
    <dimension name="JOB" uniqueName="[JOB]" caption="JOB"/>
    <dimension name="Main" uniqueName="[Main]" caption="Main"/>
    <dimension measure="1" name="Measures" uniqueName="[Measures]" caption="Measures"/>
  </dimensions>
  <measureGroups count="4">
    <measureGroup name="Department" caption="Department"/>
    <measureGroup name="Employee" caption="Employee"/>
    <measureGroup name="JOB" caption="JOB"/>
    <measureGroup name="Main" caption="Main"/>
  </measureGroups>
  <maps count="9">
    <map measureGroup="0" dimension="0"/>
    <map measureGroup="1" dimension="0"/>
    <map measureGroup="1" dimension="1"/>
    <map measureGroup="1" dimension="2"/>
    <map measureGroup="1" dimension="3"/>
    <map measureGroup="2" dimension="2"/>
    <map measureGroup="3" dimension="0"/>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yash Gupta" refreshedDate="46225.951063194443" backgroundQuery="1" createdVersion="8" refreshedVersion="8" minRefreshableVersion="3" recordCount="0" supportSubquery="1" supportAdvancedDrill="1" xr:uid="{647770ED-43E4-4394-84C7-04D487DB658B}">
  <cacheSource type="external" connectionId="1"/>
  <cacheFields count="1">
    <cacheField name="[Measures].[AVG. Rating]" caption="AVG. Rating" numFmtId="0" hierarchy="25" level="32767"/>
  </cacheFields>
  <cacheHierarchies count="33">
    <cacheHierarchy uniqueName="[Department].[Department]" caption="Department" attribute="1" defaultMemberUniqueName="[Department].[Department].[All]" allUniqueName="[Department].[Department].[All]" dimensionUniqueName="[Department]" displayFolder="" count="0" memberValueDatatype="130" unbalanced="0"/>
    <cacheHierarchy uniqueName="[Department].[Department id]" caption="Department id" attribute="1" defaultMemberUniqueName="[Department].[Department id].[All]" allUniqueName="[Department].[Department id].[All]" dimensionUniqueName="[Department]" displayFolder="" count="0" memberValueDatatype="130" unbalanced="0"/>
    <cacheHierarchy uniqueName="[Employee].[Employee name]" caption="Employee name" attribute="1" defaultMemberUniqueName="[Employee].[Employee name].[All]" allUniqueName="[Employee].[Employee name].[All]" dimensionUniqueName="[Employee]" displayFolder="" count="0" memberValueDatatype="130" unbalanced="0"/>
    <cacheHierarchy uniqueName="[Employee].[Employee id]" caption="Employee id" attribute="1" defaultMemberUniqueName="[Employee].[Employee id].[All]" allUniqueName="[Employee].[Employee id].[All]" dimensionUniqueName="[Employee]" displayFolder="" count="0" memberValueDatatype="130" unbalanced="0"/>
    <cacheHierarchy uniqueName="[Employee].[Gender]" caption="Gender" attribute="1" defaultMemberUniqueName="[Employee].[Gender].[All]" allUniqueName="[Employee].[Gender].[All]" dimensionUniqueName="[Employee]" displayFolder="" count="0" memberValueDatatype="130" unbalanced="0"/>
    <cacheHierarchy uniqueName="[Employee].[Education]" caption="Education" attribute="1" defaultMemberUniqueName="[Employee].[Education].[All]" allUniqueName="[Employee].[Education].[All]" dimensionUniqueName="[Employee]" displayFolder="" count="0" memberValueDatatype="130" unbalanced="0"/>
    <cacheHierarchy uniqueName="[Employee].[Salary]" caption="Salary" attribute="1" defaultMemberUniqueName="[Employee].[Salary].[All]" allUniqueName="[Employee].[Salary].[All]" dimensionUniqueName="[Employee]" displayFolder="" count="0" memberValueDatatype="20" unbalanced="0"/>
    <cacheHierarchy uniqueName="[Employee].[Rating]" caption="Rating" attribute="1" defaultMemberUniqueName="[Employee].[Rating].[All]" allUniqueName="[Employee].[Rating].[All]" dimensionUniqueName="[Employee]" displayFolder="" count="0" memberValueDatatype="20" unbalanced="0"/>
    <cacheHierarchy uniqueName="[Employee].[Total Year of Experience]" caption="Total Year of Experience" attribute="1" defaultMemberUniqueName="[Employee].[Total Year of Experience].[All]" allUniqueName="[Employee].[Total Year of Experience].[All]" dimensionUniqueName="[Employee]" displayFolder="" count="0" memberValueDatatype="20" unbalanced="0"/>
    <cacheHierarchy uniqueName="[Employee].[Overtime]" caption="Overtime" attribute="1" defaultMemberUniqueName="[Employee].[Overtime].[All]" allUniqueName="[Employee].[Overtime].[All]" dimensionUniqueName="[Employee]" displayFolder="" count="0" memberValueDatatype="130" unbalanced="0"/>
    <cacheHierarchy uniqueName="[Employee].[Overtime Incentive]" caption="Overtime Incentive" attribute="1" defaultMemberUniqueName="[Employee].[Overtime Incentive].[All]" allUniqueName="[Employee].[Overtime Incentive].[All]" dimensionUniqueName="[Employee]" displayFolder="" count="0" memberValueDatatype="130" unbalanced="0"/>
    <cacheHierarchy uniqueName="[Employee].[Salary ( After overtime )]" caption="Salary ( After overtime )" attribute="1" defaultMemberUniqueName="[Employee].[Salary ( After overtime )].[All]" allUniqueName="[Employee].[Salary ( After overtime )].[All]" dimensionUniqueName="[Employee]" displayFolder="" count="0" memberValueDatatype="20" unbalanced="0"/>
    <cacheHierarchy uniqueName="[Employee].[Marital Status]" caption="Marital Status" attribute="1" defaultMemberUniqueName="[Employee].[Marital Status].[All]" allUniqueName="[Employee].[Marital Status].[All]" dimensionUniqueName="[Employee]" displayFolder="" count="0" memberValueDatatype="130" unbalanced="0"/>
    <cacheHierarchy uniqueName="[JOB].[Job ID]" caption="Job ID" attribute="1" defaultMemberUniqueName="[JOB].[Job ID].[All]" allUniqueName="[JOB].[Job ID].[All]" dimensionUniqueName="[JOB]" displayFolder="" count="0" memberValueDatatype="130" unbalanced="0"/>
    <cacheHierarchy uniqueName="[JOB].[Job]" caption="Job" attribute="1" defaultMemberUniqueName="[JOB].[Job].[All]" allUniqueName="[JOB].[Job].[All]" dimensionUniqueName="[JOB]" displayFolder="" count="0" memberValueDatatype="130" unbalanced="0"/>
    <cacheHierarchy uniqueName="[Main].[Employee ID]" caption="Employee ID" attribute="1" defaultMemberUniqueName="[Main].[Employee ID].[All]" allUniqueName="[Main].[Employee ID].[All]" dimensionUniqueName="[Main]" displayFolder="" count="0" memberValueDatatype="130" unbalanced="0"/>
    <cacheHierarchy uniqueName="[Main].[Department ID]" caption="Department ID" attribute="1" defaultMemberUniqueName="[Main].[Department ID].[All]" allUniqueName="[Main].[Department ID].[All]" dimensionUniqueName="[Main]" displayFolder="" count="0" memberValueDatatype="130" unbalanced="0"/>
    <cacheHierarchy uniqueName="[Main].[JOB ID]" caption="JOB ID" attribute="1" defaultMemberUniqueName="[Main].[JOB ID].[All]" allUniqueName="[Main].[JOB ID].[All]" dimensionUniqueName="[Main]" displayFolder="" count="0" memberValueDatatype="130" unbalanced="0"/>
    <cacheHierarchy uniqueName="[Main].[Attrition]" caption="Attrition" attribute="1" defaultMemberUniqueName="[Main].[Attrition].[All]" allUniqueName="[Main].[Attrition].[All]" dimensionUniqueName="[Main]" displayFolder="" count="0" memberValueDatatype="130" unbalanced="0"/>
    <cacheHierarchy uniqueName="[Measures].[Count of Employee id]" caption="Count of Employee id" measure="1" displayFolder="" measureGroup="Employee" count="0">
      <extLst>
        <ext xmlns:x15="http://schemas.microsoft.com/office/spreadsheetml/2010/11/main" uri="{B97F6D7D-B522-45F9-BDA1-12C45D357490}">
          <x15:cacheHierarchy aggregatedColumn="3"/>
        </ext>
      </extLst>
    </cacheHierarchy>
    <cacheHierarchy uniqueName="[Measures].[Count of Department]" caption="Count of Department" measure="1" displayFolder="" measureGroup="Department" count="0">
      <extLst>
        <ext xmlns:x15="http://schemas.microsoft.com/office/spreadsheetml/2010/11/main" uri="{B97F6D7D-B522-45F9-BDA1-12C45D357490}">
          <x15:cacheHierarchy aggregatedColumn="0"/>
        </ext>
      </extLst>
    </cacheHierarchy>
    <cacheHierarchy uniqueName="[Measures].[Count of Attrition]" caption="Count of Attrition" measure="1" displayFolder="" measureGroup="Main" count="0">
      <extLst>
        <ext xmlns:x15="http://schemas.microsoft.com/office/spreadsheetml/2010/11/main" uri="{B97F6D7D-B522-45F9-BDA1-12C45D357490}">
          <x15:cacheHierarchy aggregatedColumn="18"/>
        </ext>
      </extLst>
    </cacheHierarchy>
    <cacheHierarchy uniqueName="[Measures].[No of employee]" caption="No of employee" measure="1" displayFolder="" measureGroup="Main" count="0"/>
    <cacheHierarchy uniqueName="[Measures].[Attrition Count]" caption="Attrition Count" measure="1" displayFolder="" measureGroup="Main" count="0"/>
    <cacheHierarchy uniqueName="[Measures].[Attrition Rate]" caption="Attrition Rate" measure="1" displayFolder="" measureGroup="Main" count="0"/>
    <cacheHierarchy uniqueName="[Measures].[AVG. Rating]" caption="AVG. Rating" measure="1" displayFolder="" measureGroup="Main" count="0" oneField="1">
      <fieldsUsage count="1">
        <fieldUsage x="0"/>
      </fieldsUsage>
    </cacheHierarchy>
    <cacheHierarchy uniqueName="[Measures].[Avg.Salary]" caption="Avg.Salary" measure="1" displayFolder="" measureGroup="Main" count="0"/>
    <cacheHierarchy uniqueName="[Measures].[Avg.Experience]" caption="Avg.Experience" measure="1" displayFolder="" measureGroup="Main" count="0"/>
    <cacheHierarchy uniqueName="[Measures].[__XL_Count Table1]" caption="__XL_Count Table1" measure="1" displayFolder="" measureGroup="Main" count="0" hidden="1"/>
    <cacheHierarchy uniqueName="[Measures].[__XL_Count Table2]" caption="__XL_Count Table2" measure="1" displayFolder="" measureGroup="Employee" count="0" hidden="1"/>
    <cacheHierarchy uniqueName="[Measures].[__XL_Count Table3]" caption="__XL_Count Table3" measure="1" displayFolder="" measureGroup="Department" count="0" hidden="1"/>
    <cacheHierarchy uniqueName="[Measures].[__XL_Count Table4]" caption="__XL_Count Table4" measure="1" displayFolder="" measureGroup="JOB" count="0" hidden="1"/>
    <cacheHierarchy uniqueName="[Measures].[__No measures defined]" caption="__No measures defined" measure="1" displayFolder="" count="0" hidden="1"/>
  </cacheHierarchies>
  <kpis count="0"/>
  <dimensions count="5">
    <dimension name="Department" uniqueName="[Department]" caption="Department"/>
    <dimension name="Employee" uniqueName="[Employee]" caption="Employee"/>
    <dimension name="JOB" uniqueName="[JOB]" caption="JOB"/>
    <dimension name="Main" uniqueName="[Main]" caption="Main"/>
    <dimension measure="1" name="Measures" uniqueName="[Measures]" caption="Measures"/>
  </dimensions>
  <measureGroups count="4">
    <measureGroup name="Department" caption="Department"/>
    <measureGroup name="Employee" caption="Employee"/>
    <measureGroup name="JOB" caption="JOB"/>
    <measureGroup name="Main" caption="Main"/>
  </measureGroups>
  <maps count="9">
    <map measureGroup="0" dimension="0"/>
    <map measureGroup="1" dimension="0"/>
    <map measureGroup="1" dimension="1"/>
    <map measureGroup="1" dimension="2"/>
    <map measureGroup="1" dimension="3"/>
    <map measureGroup="2" dimension="2"/>
    <map measureGroup="3" dimension="0"/>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yash Gupta" refreshedDate="46225.951063657405" backgroundQuery="1" createdVersion="8" refreshedVersion="8" minRefreshableVersion="3" recordCount="0" supportSubquery="1" supportAdvancedDrill="1" xr:uid="{00EFE2E2-7C36-48DE-85E9-10E02F337A25}">
  <cacheSource type="external" connectionId="1"/>
  <cacheFields count="1">
    <cacheField name="[Measures].[Avg.Salary]" caption="Avg.Salary" numFmtId="0" hierarchy="26" level="32767"/>
  </cacheFields>
  <cacheHierarchies count="33">
    <cacheHierarchy uniqueName="[Department].[Department]" caption="Department" attribute="1" defaultMemberUniqueName="[Department].[Department].[All]" allUniqueName="[Department].[Department].[All]" dimensionUniqueName="[Department]" displayFolder="" count="0" memberValueDatatype="130" unbalanced="0"/>
    <cacheHierarchy uniqueName="[Department].[Department id]" caption="Department id" attribute="1" defaultMemberUniqueName="[Department].[Department id].[All]" allUniqueName="[Department].[Department id].[All]" dimensionUniqueName="[Department]" displayFolder="" count="0" memberValueDatatype="130" unbalanced="0"/>
    <cacheHierarchy uniqueName="[Employee].[Employee name]" caption="Employee name" attribute="1" defaultMemberUniqueName="[Employee].[Employee name].[All]" allUniqueName="[Employee].[Employee name].[All]" dimensionUniqueName="[Employee]" displayFolder="" count="0" memberValueDatatype="130" unbalanced="0"/>
    <cacheHierarchy uniqueName="[Employee].[Employee id]" caption="Employee id" attribute="1" defaultMemberUniqueName="[Employee].[Employee id].[All]" allUniqueName="[Employee].[Employee id].[All]" dimensionUniqueName="[Employee]" displayFolder="" count="0" memberValueDatatype="130" unbalanced="0"/>
    <cacheHierarchy uniqueName="[Employee].[Gender]" caption="Gender" attribute="1" defaultMemberUniqueName="[Employee].[Gender].[All]" allUniqueName="[Employee].[Gender].[All]" dimensionUniqueName="[Employee]" displayFolder="" count="0" memberValueDatatype="130" unbalanced="0"/>
    <cacheHierarchy uniqueName="[Employee].[Education]" caption="Education" attribute="1" defaultMemberUniqueName="[Employee].[Education].[All]" allUniqueName="[Employee].[Education].[All]" dimensionUniqueName="[Employee]" displayFolder="" count="0" memberValueDatatype="130" unbalanced="0"/>
    <cacheHierarchy uniqueName="[Employee].[Salary]" caption="Salary" attribute="1" defaultMemberUniqueName="[Employee].[Salary].[All]" allUniqueName="[Employee].[Salary].[All]" dimensionUniqueName="[Employee]" displayFolder="" count="0" memberValueDatatype="20" unbalanced="0"/>
    <cacheHierarchy uniqueName="[Employee].[Rating]" caption="Rating" attribute="1" defaultMemberUniqueName="[Employee].[Rating].[All]" allUniqueName="[Employee].[Rating].[All]" dimensionUniqueName="[Employee]" displayFolder="" count="0" memberValueDatatype="20" unbalanced="0"/>
    <cacheHierarchy uniqueName="[Employee].[Total Year of Experience]" caption="Total Year of Experience" attribute="1" defaultMemberUniqueName="[Employee].[Total Year of Experience].[All]" allUniqueName="[Employee].[Total Year of Experience].[All]" dimensionUniqueName="[Employee]" displayFolder="" count="0" memberValueDatatype="20" unbalanced="0"/>
    <cacheHierarchy uniqueName="[Employee].[Overtime]" caption="Overtime" attribute="1" defaultMemberUniqueName="[Employee].[Overtime].[All]" allUniqueName="[Employee].[Overtime].[All]" dimensionUniqueName="[Employee]" displayFolder="" count="0" memberValueDatatype="130" unbalanced="0"/>
    <cacheHierarchy uniqueName="[Employee].[Overtime Incentive]" caption="Overtime Incentive" attribute="1" defaultMemberUniqueName="[Employee].[Overtime Incentive].[All]" allUniqueName="[Employee].[Overtime Incentive].[All]" dimensionUniqueName="[Employee]" displayFolder="" count="0" memberValueDatatype="130" unbalanced="0"/>
    <cacheHierarchy uniqueName="[Employee].[Salary ( After overtime )]" caption="Salary ( After overtime )" attribute="1" defaultMemberUniqueName="[Employee].[Salary ( After overtime )].[All]" allUniqueName="[Employee].[Salary ( After overtime )].[All]" dimensionUniqueName="[Employee]" displayFolder="" count="0" memberValueDatatype="20" unbalanced="0"/>
    <cacheHierarchy uniqueName="[Employee].[Marital Status]" caption="Marital Status" attribute="1" defaultMemberUniqueName="[Employee].[Marital Status].[All]" allUniqueName="[Employee].[Marital Status].[All]" dimensionUniqueName="[Employee]" displayFolder="" count="0" memberValueDatatype="130" unbalanced="0"/>
    <cacheHierarchy uniqueName="[JOB].[Job ID]" caption="Job ID" attribute="1" defaultMemberUniqueName="[JOB].[Job ID].[All]" allUniqueName="[JOB].[Job ID].[All]" dimensionUniqueName="[JOB]" displayFolder="" count="0" memberValueDatatype="130" unbalanced="0"/>
    <cacheHierarchy uniqueName="[JOB].[Job]" caption="Job" attribute="1" defaultMemberUniqueName="[JOB].[Job].[All]" allUniqueName="[JOB].[Job].[All]" dimensionUniqueName="[JOB]" displayFolder="" count="0" memberValueDatatype="130" unbalanced="0"/>
    <cacheHierarchy uniqueName="[Main].[Employee ID]" caption="Employee ID" attribute="1" defaultMemberUniqueName="[Main].[Employee ID].[All]" allUniqueName="[Main].[Employee ID].[All]" dimensionUniqueName="[Main]" displayFolder="" count="0" memberValueDatatype="130" unbalanced="0"/>
    <cacheHierarchy uniqueName="[Main].[Department ID]" caption="Department ID" attribute="1" defaultMemberUniqueName="[Main].[Department ID].[All]" allUniqueName="[Main].[Department ID].[All]" dimensionUniqueName="[Main]" displayFolder="" count="0" memberValueDatatype="130" unbalanced="0"/>
    <cacheHierarchy uniqueName="[Main].[JOB ID]" caption="JOB ID" attribute="1" defaultMemberUniqueName="[Main].[JOB ID].[All]" allUniqueName="[Main].[JOB ID].[All]" dimensionUniqueName="[Main]" displayFolder="" count="0" memberValueDatatype="130" unbalanced="0"/>
    <cacheHierarchy uniqueName="[Main].[Attrition]" caption="Attrition" attribute="1" defaultMemberUniqueName="[Main].[Attrition].[All]" allUniqueName="[Main].[Attrition].[All]" dimensionUniqueName="[Main]" displayFolder="" count="0" memberValueDatatype="130" unbalanced="0"/>
    <cacheHierarchy uniqueName="[Measures].[Count of Employee id]" caption="Count of Employee id" measure="1" displayFolder="" measureGroup="Employee" count="0">
      <extLst>
        <ext xmlns:x15="http://schemas.microsoft.com/office/spreadsheetml/2010/11/main" uri="{B97F6D7D-B522-45F9-BDA1-12C45D357490}">
          <x15:cacheHierarchy aggregatedColumn="3"/>
        </ext>
      </extLst>
    </cacheHierarchy>
    <cacheHierarchy uniqueName="[Measures].[Count of Department]" caption="Count of Department" measure="1" displayFolder="" measureGroup="Department" count="0">
      <extLst>
        <ext xmlns:x15="http://schemas.microsoft.com/office/spreadsheetml/2010/11/main" uri="{B97F6D7D-B522-45F9-BDA1-12C45D357490}">
          <x15:cacheHierarchy aggregatedColumn="0"/>
        </ext>
      </extLst>
    </cacheHierarchy>
    <cacheHierarchy uniqueName="[Measures].[Count of Attrition]" caption="Count of Attrition" measure="1" displayFolder="" measureGroup="Main" count="0">
      <extLst>
        <ext xmlns:x15="http://schemas.microsoft.com/office/spreadsheetml/2010/11/main" uri="{B97F6D7D-B522-45F9-BDA1-12C45D357490}">
          <x15:cacheHierarchy aggregatedColumn="18"/>
        </ext>
      </extLst>
    </cacheHierarchy>
    <cacheHierarchy uniqueName="[Measures].[No of employee]" caption="No of employee" measure="1" displayFolder="" measureGroup="Main" count="0"/>
    <cacheHierarchy uniqueName="[Measures].[Attrition Count]" caption="Attrition Count" measure="1" displayFolder="" measureGroup="Main" count="0"/>
    <cacheHierarchy uniqueName="[Measures].[Attrition Rate]" caption="Attrition Rate" measure="1" displayFolder="" measureGroup="Main" count="0"/>
    <cacheHierarchy uniqueName="[Measures].[AVG. Rating]" caption="AVG. Rating" measure="1" displayFolder="" measureGroup="Main" count="0"/>
    <cacheHierarchy uniqueName="[Measures].[Avg.Salary]" caption="Avg.Salary" measure="1" displayFolder="" measureGroup="Main" count="0" oneField="1">
      <fieldsUsage count="1">
        <fieldUsage x="0"/>
      </fieldsUsage>
    </cacheHierarchy>
    <cacheHierarchy uniqueName="[Measures].[Avg.Experience]" caption="Avg.Experience" measure="1" displayFolder="" measureGroup="Main" count="0"/>
    <cacheHierarchy uniqueName="[Measures].[__XL_Count Table1]" caption="__XL_Count Table1" measure="1" displayFolder="" measureGroup="Main" count="0" hidden="1"/>
    <cacheHierarchy uniqueName="[Measures].[__XL_Count Table2]" caption="__XL_Count Table2" measure="1" displayFolder="" measureGroup="Employee" count="0" hidden="1"/>
    <cacheHierarchy uniqueName="[Measures].[__XL_Count Table3]" caption="__XL_Count Table3" measure="1" displayFolder="" measureGroup="Department" count="0" hidden="1"/>
    <cacheHierarchy uniqueName="[Measures].[__XL_Count Table4]" caption="__XL_Count Table4" measure="1" displayFolder="" measureGroup="JOB" count="0" hidden="1"/>
    <cacheHierarchy uniqueName="[Measures].[__No measures defined]" caption="__No measures defined" measure="1" displayFolder="" count="0" hidden="1"/>
  </cacheHierarchies>
  <kpis count="0"/>
  <dimensions count="5">
    <dimension name="Department" uniqueName="[Department]" caption="Department"/>
    <dimension name="Employee" uniqueName="[Employee]" caption="Employee"/>
    <dimension name="JOB" uniqueName="[JOB]" caption="JOB"/>
    <dimension name="Main" uniqueName="[Main]" caption="Main"/>
    <dimension measure="1" name="Measures" uniqueName="[Measures]" caption="Measures"/>
  </dimensions>
  <measureGroups count="4">
    <measureGroup name="Department" caption="Department"/>
    <measureGroup name="Employee" caption="Employee"/>
    <measureGroup name="JOB" caption="JOB"/>
    <measureGroup name="Main" caption="Main"/>
  </measureGroups>
  <maps count="9">
    <map measureGroup="0" dimension="0"/>
    <map measureGroup="1" dimension="0"/>
    <map measureGroup="1" dimension="1"/>
    <map measureGroup="1" dimension="2"/>
    <map measureGroup="1" dimension="3"/>
    <map measureGroup="2" dimension="2"/>
    <map measureGroup="3" dimension="0"/>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yash Gupta" refreshedDate="46225.95106446759" backgroundQuery="1" createdVersion="8" refreshedVersion="8" minRefreshableVersion="3" recordCount="0" supportSubquery="1" supportAdvancedDrill="1" xr:uid="{3F343D48-C2AA-4704-B629-875E293AFD6A}">
  <cacheSource type="external" connectionId="1"/>
  <cacheFields count="2">
    <cacheField name="[Employee].[Gender].[Gender]" caption="Gender" numFmtId="0" hierarchy="4" level="1">
      <sharedItems count="2">
        <s v="Female"/>
        <s v="Male"/>
      </sharedItems>
    </cacheField>
    <cacheField name="[Measures].[Count of Employee id]" caption="Count of Employee id" numFmtId="0" hierarchy="19" level="32767"/>
  </cacheFields>
  <cacheHierarchies count="33">
    <cacheHierarchy uniqueName="[Department].[Department]" caption="Department" attribute="1" defaultMemberUniqueName="[Department].[Department].[All]" allUniqueName="[Department].[Department].[All]" dimensionUniqueName="[Department]" displayFolder="" count="0" memberValueDatatype="130" unbalanced="0"/>
    <cacheHierarchy uniqueName="[Department].[Department id]" caption="Department id" attribute="1" defaultMemberUniqueName="[Department].[Department id].[All]" allUniqueName="[Department].[Department id].[All]" dimensionUniqueName="[Department]" displayFolder="" count="0" memberValueDatatype="130" unbalanced="0"/>
    <cacheHierarchy uniqueName="[Employee].[Employee name]" caption="Employee name" attribute="1" defaultMemberUniqueName="[Employee].[Employee name].[All]" allUniqueName="[Employee].[Employee name].[All]" dimensionUniqueName="[Employee]" displayFolder="" count="0" memberValueDatatype="130" unbalanced="0"/>
    <cacheHierarchy uniqueName="[Employee].[Employee id]" caption="Employee id" attribute="1" defaultMemberUniqueName="[Employee].[Employee id].[All]" allUniqueName="[Employee].[Employee id].[All]" dimensionUniqueName="[Employee]" displayFolder="" count="0" memberValueDatatype="130" unbalanced="0"/>
    <cacheHierarchy uniqueName="[Employee].[Gender]" caption="Gender" attribute="1" defaultMemberUniqueName="[Employee].[Gender].[All]" allUniqueName="[Employee].[Gender].[All]" dimensionUniqueName="[Employee]" displayFolder="" count="2" memberValueDatatype="130" unbalanced="0">
      <fieldsUsage count="2">
        <fieldUsage x="-1"/>
        <fieldUsage x="0"/>
      </fieldsUsage>
    </cacheHierarchy>
    <cacheHierarchy uniqueName="[Employee].[Education]" caption="Education" attribute="1" defaultMemberUniqueName="[Employee].[Education].[All]" allUniqueName="[Employee].[Education].[All]" dimensionUniqueName="[Employee]" displayFolder="" count="0" memberValueDatatype="130" unbalanced="0"/>
    <cacheHierarchy uniqueName="[Employee].[Salary]" caption="Salary" attribute="1" defaultMemberUniqueName="[Employee].[Salary].[All]" allUniqueName="[Employee].[Salary].[All]" dimensionUniqueName="[Employee]" displayFolder="" count="0" memberValueDatatype="20" unbalanced="0"/>
    <cacheHierarchy uniqueName="[Employee].[Rating]" caption="Rating" attribute="1" defaultMemberUniqueName="[Employee].[Rating].[All]" allUniqueName="[Employee].[Rating].[All]" dimensionUniqueName="[Employee]" displayFolder="" count="0" memberValueDatatype="20" unbalanced="0"/>
    <cacheHierarchy uniqueName="[Employee].[Total Year of Experience]" caption="Total Year of Experience" attribute="1" defaultMemberUniqueName="[Employee].[Total Year of Experience].[All]" allUniqueName="[Employee].[Total Year of Experience].[All]" dimensionUniqueName="[Employee]" displayFolder="" count="0" memberValueDatatype="20" unbalanced="0"/>
    <cacheHierarchy uniqueName="[Employee].[Overtime]" caption="Overtime" attribute="1" defaultMemberUniqueName="[Employee].[Overtime].[All]" allUniqueName="[Employee].[Overtime].[All]" dimensionUniqueName="[Employee]" displayFolder="" count="0" memberValueDatatype="130" unbalanced="0"/>
    <cacheHierarchy uniqueName="[Employee].[Overtime Incentive]" caption="Overtime Incentive" attribute="1" defaultMemberUniqueName="[Employee].[Overtime Incentive].[All]" allUniqueName="[Employee].[Overtime Incentive].[All]" dimensionUniqueName="[Employee]" displayFolder="" count="0" memberValueDatatype="130" unbalanced="0"/>
    <cacheHierarchy uniqueName="[Employee].[Salary ( After overtime )]" caption="Salary ( After overtime )" attribute="1" defaultMemberUniqueName="[Employee].[Salary ( After overtime )].[All]" allUniqueName="[Employee].[Salary ( After overtime )].[All]" dimensionUniqueName="[Employee]" displayFolder="" count="0" memberValueDatatype="20" unbalanced="0"/>
    <cacheHierarchy uniqueName="[Employee].[Marital Status]" caption="Marital Status" attribute="1" defaultMemberUniqueName="[Employee].[Marital Status].[All]" allUniqueName="[Employee].[Marital Status].[All]" dimensionUniqueName="[Employee]" displayFolder="" count="0" memberValueDatatype="130" unbalanced="0"/>
    <cacheHierarchy uniqueName="[JOB].[Job ID]" caption="Job ID" attribute="1" defaultMemberUniqueName="[JOB].[Job ID].[All]" allUniqueName="[JOB].[Job ID].[All]" dimensionUniqueName="[JOB]" displayFolder="" count="0" memberValueDatatype="130" unbalanced="0"/>
    <cacheHierarchy uniqueName="[JOB].[Job]" caption="Job" attribute="1" defaultMemberUniqueName="[JOB].[Job].[All]" allUniqueName="[JOB].[Job].[All]" dimensionUniqueName="[JOB]" displayFolder="" count="0" memberValueDatatype="130" unbalanced="0"/>
    <cacheHierarchy uniqueName="[Main].[Employee ID]" caption="Employee ID" attribute="1" defaultMemberUniqueName="[Main].[Employee ID].[All]" allUniqueName="[Main].[Employee ID].[All]" dimensionUniqueName="[Main]" displayFolder="" count="0" memberValueDatatype="130" unbalanced="0"/>
    <cacheHierarchy uniqueName="[Main].[Department ID]" caption="Department ID" attribute="1" defaultMemberUniqueName="[Main].[Department ID].[All]" allUniqueName="[Main].[Department ID].[All]" dimensionUniqueName="[Main]" displayFolder="" count="0" memberValueDatatype="130" unbalanced="0"/>
    <cacheHierarchy uniqueName="[Main].[JOB ID]" caption="JOB ID" attribute="1" defaultMemberUniqueName="[Main].[JOB ID].[All]" allUniqueName="[Main].[JOB ID].[All]" dimensionUniqueName="[Main]" displayFolder="" count="0" memberValueDatatype="130" unbalanced="0"/>
    <cacheHierarchy uniqueName="[Main].[Attrition]" caption="Attrition" attribute="1" defaultMemberUniqueName="[Main].[Attrition].[All]" allUniqueName="[Main].[Attrition].[All]" dimensionUniqueName="[Main]" displayFolder="" count="0" memberValueDatatype="130" unbalanced="0"/>
    <cacheHierarchy uniqueName="[Measures].[Count of Employee id]" caption="Count of Employee id" measure="1" displayFolder="" measureGroup="Employee" count="0" oneField="1">
      <fieldsUsage count="1">
        <fieldUsage x="1"/>
      </fieldsUsage>
      <extLst>
        <ext xmlns:x15="http://schemas.microsoft.com/office/spreadsheetml/2010/11/main" uri="{B97F6D7D-B522-45F9-BDA1-12C45D357490}">
          <x15:cacheHierarchy aggregatedColumn="3"/>
        </ext>
      </extLst>
    </cacheHierarchy>
    <cacheHierarchy uniqueName="[Measures].[Count of Department]" caption="Count of Department" measure="1" displayFolder="" measureGroup="Department" count="0">
      <extLst>
        <ext xmlns:x15="http://schemas.microsoft.com/office/spreadsheetml/2010/11/main" uri="{B97F6D7D-B522-45F9-BDA1-12C45D357490}">
          <x15:cacheHierarchy aggregatedColumn="0"/>
        </ext>
      </extLst>
    </cacheHierarchy>
    <cacheHierarchy uniqueName="[Measures].[Count of Attrition]" caption="Count of Attrition" measure="1" displayFolder="" measureGroup="Main" count="0">
      <extLst>
        <ext xmlns:x15="http://schemas.microsoft.com/office/spreadsheetml/2010/11/main" uri="{B97F6D7D-B522-45F9-BDA1-12C45D357490}">
          <x15:cacheHierarchy aggregatedColumn="18"/>
        </ext>
      </extLst>
    </cacheHierarchy>
    <cacheHierarchy uniqueName="[Measures].[No of employee]" caption="No of employee" measure="1" displayFolder="" measureGroup="Main" count="0"/>
    <cacheHierarchy uniqueName="[Measures].[Attrition Count]" caption="Attrition Count" measure="1" displayFolder="" measureGroup="Main" count="0"/>
    <cacheHierarchy uniqueName="[Measures].[Attrition Rate]" caption="Attrition Rate" measure="1" displayFolder="" measureGroup="Main" count="0"/>
    <cacheHierarchy uniqueName="[Measures].[AVG. Rating]" caption="AVG. Rating" measure="1" displayFolder="" measureGroup="Main" count="0"/>
    <cacheHierarchy uniqueName="[Measures].[Avg.Salary]" caption="Avg.Salary" measure="1" displayFolder="" measureGroup="Main" count="0"/>
    <cacheHierarchy uniqueName="[Measures].[Avg.Experience]" caption="Avg.Experience" measure="1" displayFolder="" measureGroup="Main" count="0"/>
    <cacheHierarchy uniqueName="[Measures].[__XL_Count Table1]" caption="__XL_Count Table1" measure="1" displayFolder="" measureGroup="Main" count="0" hidden="1"/>
    <cacheHierarchy uniqueName="[Measures].[__XL_Count Table2]" caption="__XL_Count Table2" measure="1" displayFolder="" measureGroup="Employee" count="0" hidden="1"/>
    <cacheHierarchy uniqueName="[Measures].[__XL_Count Table3]" caption="__XL_Count Table3" measure="1" displayFolder="" measureGroup="Department" count="0" hidden="1"/>
    <cacheHierarchy uniqueName="[Measures].[__XL_Count Table4]" caption="__XL_Count Table4" measure="1" displayFolder="" measureGroup="JOB" count="0" hidden="1"/>
    <cacheHierarchy uniqueName="[Measures].[__No measures defined]" caption="__No measures defined" measure="1" displayFolder="" count="0" hidden="1"/>
  </cacheHierarchies>
  <kpis count="0"/>
  <dimensions count="5">
    <dimension name="Department" uniqueName="[Department]" caption="Department"/>
    <dimension name="Employee" uniqueName="[Employee]" caption="Employee"/>
    <dimension name="JOB" uniqueName="[JOB]" caption="JOB"/>
    <dimension name="Main" uniqueName="[Main]" caption="Main"/>
    <dimension measure="1" name="Measures" uniqueName="[Measures]" caption="Measures"/>
  </dimensions>
  <measureGroups count="4">
    <measureGroup name="Department" caption="Department"/>
    <measureGroup name="Employee" caption="Employee"/>
    <measureGroup name="JOB" caption="JOB"/>
    <measureGroup name="Main" caption="Main"/>
  </measureGroups>
  <maps count="9">
    <map measureGroup="0" dimension="0"/>
    <map measureGroup="1" dimension="0"/>
    <map measureGroup="1" dimension="1"/>
    <map measureGroup="1" dimension="2"/>
    <map measureGroup="1" dimension="3"/>
    <map measureGroup="2" dimension="2"/>
    <map measureGroup="3" dimension="0"/>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yash Gupta" refreshedDate="46225.951065393521" backgroundQuery="1" createdVersion="8" refreshedVersion="8" minRefreshableVersion="3" recordCount="0" supportSubquery="1" supportAdvancedDrill="1" xr:uid="{A9FBFE1D-B79E-4CB1-A9C5-B9DB19217EB7}">
  <cacheSource type="external" connectionId="1"/>
  <cacheFields count="2">
    <cacheField name="[Employee].[Marital Status].[Marital Status]" caption="Marital Status" numFmtId="0" hierarchy="12" level="1">
      <sharedItems count="2">
        <s v="Married"/>
        <s v="Unmarried"/>
      </sharedItems>
    </cacheField>
    <cacheField name="[Measures].[Count of Employee id]" caption="Count of Employee id" numFmtId="0" hierarchy="19" level="32767"/>
  </cacheFields>
  <cacheHierarchies count="33">
    <cacheHierarchy uniqueName="[Department].[Department]" caption="Department" attribute="1" defaultMemberUniqueName="[Department].[Department].[All]" allUniqueName="[Department].[Department].[All]" dimensionUniqueName="[Department]" displayFolder="" count="0" memberValueDatatype="130" unbalanced="0"/>
    <cacheHierarchy uniqueName="[Department].[Department id]" caption="Department id" attribute="1" defaultMemberUniqueName="[Department].[Department id].[All]" allUniqueName="[Department].[Department id].[All]" dimensionUniqueName="[Department]" displayFolder="" count="0" memberValueDatatype="130" unbalanced="0"/>
    <cacheHierarchy uniqueName="[Employee].[Employee name]" caption="Employee name" attribute="1" defaultMemberUniqueName="[Employee].[Employee name].[All]" allUniqueName="[Employee].[Employee name].[All]" dimensionUniqueName="[Employee]" displayFolder="" count="0" memberValueDatatype="130" unbalanced="0"/>
    <cacheHierarchy uniqueName="[Employee].[Employee id]" caption="Employee id" attribute="1" defaultMemberUniqueName="[Employee].[Employee id].[All]" allUniqueName="[Employee].[Employee id].[All]" dimensionUniqueName="[Employee]" displayFolder="" count="0" memberValueDatatype="130" unbalanced="0"/>
    <cacheHierarchy uniqueName="[Employee].[Gender]" caption="Gender" attribute="1" defaultMemberUniqueName="[Employee].[Gender].[All]" allUniqueName="[Employee].[Gender].[All]" dimensionUniqueName="[Employee]" displayFolder="" count="0" memberValueDatatype="130" unbalanced="0"/>
    <cacheHierarchy uniqueName="[Employee].[Education]" caption="Education" attribute="1" defaultMemberUniqueName="[Employee].[Education].[All]" allUniqueName="[Employee].[Education].[All]" dimensionUniqueName="[Employee]" displayFolder="" count="0" memberValueDatatype="130" unbalanced="0"/>
    <cacheHierarchy uniqueName="[Employee].[Salary]" caption="Salary" attribute="1" defaultMemberUniqueName="[Employee].[Salary].[All]" allUniqueName="[Employee].[Salary].[All]" dimensionUniqueName="[Employee]" displayFolder="" count="0" memberValueDatatype="20" unbalanced="0"/>
    <cacheHierarchy uniqueName="[Employee].[Rating]" caption="Rating" attribute="1" defaultMemberUniqueName="[Employee].[Rating].[All]" allUniqueName="[Employee].[Rating].[All]" dimensionUniqueName="[Employee]" displayFolder="" count="0" memberValueDatatype="20" unbalanced="0"/>
    <cacheHierarchy uniqueName="[Employee].[Total Year of Experience]" caption="Total Year of Experience" attribute="1" defaultMemberUniqueName="[Employee].[Total Year of Experience].[All]" allUniqueName="[Employee].[Total Year of Experience].[All]" dimensionUniqueName="[Employee]" displayFolder="" count="0" memberValueDatatype="20" unbalanced="0"/>
    <cacheHierarchy uniqueName="[Employee].[Overtime]" caption="Overtime" attribute="1" defaultMemberUniqueName="[Employee].[Overtime].[All]" allUniqueName="[Employee].[Overtime].[All]" dimensionUniqueName="[Employee]" displayFolder="" count="0" memberValueDatatype="130" unbalanced="0"/>
    <cacheHierarchy uniqueName="[Employee].[Overtime Incentive]" caption="Overtime Incentive" attribute="1" defaultMemberUniqueName="[Employee].[Overtime Incentive].[All]" allUniqueName="[Employee].[Overtime Incentive].[All]" dimensionUniqueName="[Employee]" displayFolder="" count="0" memberValueDatatype="130" unbalanced="0"/>
    <cacheHierarchy uniqueName="[Employee].[Salary ( After overtime )]" caption="Salary ( After overtime )" attribute="1" defaultMemberUniqueName="[Employee].[Salary ( After overtime )].[All]" allUniqueName="[Employee].[Salary ( After overtime )].[All]" dimensionUniqueName="[Employee]" displayFolder="" count="0" memberValueDatatype="20" unbalanced="0"/>
    <cacheHierarchy uniqueName="[Employee].[Marital Status]" caption="Marital Status" attribute="1" defaultMemberUniqueName="[Employee].[Marital Status].[All]" allUniqueName="[Employee].[Marital Status].[All]" dimensionUniqueName="[Employee]" displayFolder="" count="2" memberValueDatatype="130" unbalanced="0">
      <fieldsUsage count="2">
        <fieldUsage x="-1"/>
        <fieldUsage x="0"/>
      </fieldsUsage>
    </cacheHierarchy>
    <cacheHierarchy uniqueName="[JOB].[Job ID]" caption="Job ID" attribute="1" defaultMemberUniqueName="[JOB].[Job ID].[All]" allUniqueName="[JOB].[Job ID].[All]" dimensionUniqueName="[JOB]" displayFolder="" count="0" memberValueDatatype="130" unbalanced="0"/>
    <cacheHierarchy uniqueName="[JOB].[Job]" caption="Job" attribute="1" defaultMemberUniqueName="[JOB].[Job].[All]" allUniqueName="[JOB].[Job].[All]" dimensionUniqueName="[JOB]" displayFolder="" count="0" memberValueDatatype="130" unbalanced="0"/>
    <cacheHierarchy uniqueName="[Main].[Employee ID]" caption="Employee ID" attribute="1" defaultMemberUniqueName="[Main].[Employee ID].[All]" allUniqueName="[Main].[Employee ID].[All]" dimensionUniqueName="[Main]" displayFolder="" count="0" memberValueDatatype="130" unbalanced="0"/>
    <cacheHierarchy uniqueName="[Main].[Department ID]" caption="Department ID" attribute="1" defaultMemberUniqueName="[Main].[Department ID].[All]" allUniqueName="[Main].[Department ID].[All]" dimensionUniqueName="[Main]" displayFolder="" count="0" memberValueDatatype="130" unbalanced="0"/>
    <cacheHierarchy uniqueName="[Main].[JOB ID]" caption="JOB ID" attribute="1" defaultMemberUniqueName="[Main].[JOB ID].[All]" allUniqueName="[Main].[JOB ID].[All]" dimensionUniqueName="[Main]" displayFolder="" count="0" memberValueDatatype="130" unbalanced="0"/>
    <cacheHierarchy uniqueName="[Main].[Attrition]" caption="Attrition" attribute="1" defaultMemberUniqueName="[Main].[Attrition].[All]" allUniqueName="[Main].[Attrition].[All]" dimensionUniqueName="[Main]" displayFolder="" count="0" memberValueDatatype="130" unbalanced="0"/>
    <cacheHierarchy uniqueName="[Measures].[Count of Employee id]" caption="Count of Employee id" measure="1" displayFolder="" measureGroup="Employee" count="0" oneField="1">
      <fieldsUsage count="1">
        <fieldUsage x="1"/>
      </fieldsUsage>
      <extLst>
        <ext xmlns:x15="http://schemas.microsoft.com/office/spreadsheetml/2010/11/main" uri="{B97F6D7D-B522-45F9-BDA1-12C45D357490}">
          <x15:cacheHierarchy aggregatedColumn="3"/>
        </ext>
      </extLst>
    </cacheHierarchy>
    <cacheHierarchy uniqueName="[Measures].[Count of Department]" caption="Count of Department" measure="1" displayFolder="" measureGroup="Department" count="0">
      <extLst>
        <ext xmlns:x15="http://schemas.microsoft.com/office/spreadsheetml/2010/11/main" uri="{B97F6D7D-B522-45F9-BDA1-12C45D357490}">
          <x15:cacheHierarchy aggregatedColumn="0"/>
        </ext>
      </extLst>
    </cacheHierarchy>
    <cacheHierarchy uniqueName="[Measures].[Count of Attrition]" caption="Count of Attrition" measure="1" displayFolder="" measureGroup="Main" count="0">
      <extLst>
        <ext xmlns:x15="http://schemas.microsoft.com/office/spreadsheetml/2010/11/main" uri="{B97F6D7D-B522-45F9-BDA1-12C45D357490}">
          <x15:cacheHierarchy aggregatedColumn="18"/>
        </ext>
      </extLst>
    </cacheHierarchy>
    <cacheHierarchy uniqueName="[Measures].[No of employee]" caption="No of employee" measure="1" displayFolder="" measureGroup="Main" count="0"/>
    <cacheHierarchy uniqueName="[Measures].[Attrition Count]" caption="Attrition Count" measure="1" displayFolder="" measureGroup="Main" count="0"/>
    <cacheHierarchy uniqueName="[Measures].[Attrition Rate]" caption="Attrition Rate" measure="1" displayFolder="" measureGroup="Main" count="0"/>
    <cacheHierarchy uniqueName="[Measures].[AVG. Rating]" caption="AVG. Rating" measure="1" displayFolder="" measureGroup="Main" count="0"/>
    <cacheHierarchy uniqueName="[Measures].[Avg.Salary]" caption="Avg.Salary" measure="1" displayFolder="" measureGroup="Main" count="0"/>
    <cacheHierarchy uniqueName="[Measures].[Avg.Experience]" caption="Avg.Experience" measure="1" displayFolder="" measureGroup="Main" count="0"/>
    <cacheHierarchy uniqueName="[Measures].[__XL_Count Table1]" caption="__XL_Count Table1" measure="1" displayFolder="" measureGroup="Main" count="0" hidden="1"/>
    <cacheHierarchy uniqueName="[Measures].[__XL_Count Table2]" caption="__XL_Count Table2" measure="1" displayFolder="" measureGroup="Employee" count="0" hidden="1"/>
    <cacheHierarchy uniqueName="[Measures].[__XL_Count Table3]" caption="__XL_Count Table3" measure="1" displayFolder="" measureGroup="Department" count="0" hidden="1"/>
    <cacheHierarchy uniqueName="[Measures].[__XL_Count Table4]" caption="__XL_Count Table4" measure="1" displayFolder="" measureGroup="JOB" count="0" hidden="1"/>
    <cacheHierarchy uniqueName="[Measures].[__No measures defined]" caption="__No measures defined" measure="1" displayFolder="" count="0" hidden="1"/>
  </cacheHierarchies>
  <kpis count="0"/>
  <dimensions count="5">
    <dimension name="Department" uniqueName="[Department]" caption="Department"/>
    <dimension name="Employee" uniqueName="[Employee]" caption="Employee"/>
    <dimension name="JOB" uniqueName="[JOB]" caption="JOB"/>
    <dimension name="Main" uniqueName="[Main]" caption="Main"/>
    <dimension measure="1" name="Measures" uniqueName="[Measures]" caption="Measures"/>
  </dimensions>
  <measureGroups count="4">
    <measureGroup name="Department" caption="Department"/>
    <measureGroup name="Employee" caption="Employee"/>
    <measureGroup name="JOB" caption="JOB"/>
    <measureGroup name="Main" caption="Main"/>
  </measureGroups>
  <maps count="9">
    <map measureGroup="0" dimension="0"/>
    <map measureGroup="1" dimension="0"/>
    <map measureGroup="1" dimension="1"/>
    <map measureGroup="1" dimension="2"/>
    <map measureGroup="1" dimension="3"/>
    <map measureGroup="2" dimension="2"/>
    <map measureGroup="3" dimension="0"/>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yash Gupta" refreshedDate="46225.95106608796" backgroundQuery="1" createdVersion="8" refreshedVersion="8" minRefreshableVersion="3" recordCount="0" supportSubquery="1" supportAdvancedDrill="1" xr:uid="{7911F835-A0D5-4C99-8222-857EC3DE1904}">
  <cacheSource type="external" connectionId="1"/>
  <cacheFields count="1">
    <cacheField name="[Measures].[Avg.Experience]" caption="Avg.Experience" numFmtId="0" hierarchy="27" level="32767"/>
  </cacheFields>
  <cacheHierarchies count="33">
    <cacheHierarchy uniqueName="[Department].[Department]" caption="Department" attribute="1" defaultMemberUniqueName="[Department].[Department].[All]" allUniqueName="[Department].[Department].[All]" dimensionUniqueName="[Department]" displayFolder="" count="0" memberValueDatatype="130" unbalanced="0"/>
    <cacheHierarchy uniqueName="[Department].[Department id]" caption="Department id" attribute="1" defaultMemberUniqueName="[Department].[Department id].[All]" allUniqueName="[Department].[Department id].[All]" dimensionUniqueName="[Department]" displayFolder="" count="0" memberValueDatatype="130" unbalanced="0"/>
    <cacheHierarchy uniqueName="[Employee].[Employee name]" caption="Employee name" attribute="1" defaultMemberUniqueName="[Employee].[Employee name].[All]" allUniqueName="[Employee].[Employee name].[All]" dimensionUniqueName="[Employee]" displayFolder="" count="0" memberValueDatatype="130" unbalanced="0"/>
    <cacheHierarchy uniqueName="[Employee].[Employee id]" caption="Employee id" attribute="1" defaultMemberUniqueName="[Employee].[Employee id].[All]" allUniqueName="[Employee].[Employee id].[All]" dimensionUniqueName="[Employee]" displayFolder="" count="0" memberValueDatatype="130" unbalanced="0"/>
    <cacheHierarchy uniqueName="[Employee].[Gender]" caption="Gender" attribute="1" defaultMemberUniqueName="[Employee].[Gender].[All]" allUniqueName="[Employee].[Gender].[All]" dimensionUniqueName="[Employee]" displayFolder="" count="0" memberValueDatatype="130" unbalanced="0"/>
    <cacheHierarchy uniqueName="[Employee].[Education]" caption="Education" attribute="1" defaultMemberUniqueName="[Employee].[Education].[All]" allUniqueName="[Employee].[Education].[All]" dimensionUniqueName="[Employee]" displayFolder="" count="0" memberValueDatatype="130" unbalanced="0"/>
    <cacheHierarchy uniqueName="[Employee].[Salary]" caption="Salary" attribute="1" defaultMemberUniqueName="[Employee].[Salary].[All]" allUniqueName="[Employee].[Salary].[All]" dimensionUniqueName="[Employee]" displayFolder="" count="0" memberValueDatatype="20" unbalanced="0"/>
    <cacheHierarchy uniqueName="[Employee].[Rating]" caption="Rating" attribute="1" defaultMemberUniqueName="[Employee].[Rating].[All]" allUniqueName="[Employee].[Rating].[All]" dimensionUniqueName="[Employee]" displayFolder="" count="0" memberValueDatatype="20" unbalanced="0"/>
    <cacheHierarchy uniqueName="[Employee].[Total Year of Experience]" caption="Total Year of Experience" attribute="1" defaultMemberUniqueName="[Employee].[Total Year of Experience].[All]" allUniqueName="[Employee].[Total Year of Experience].[All]" dimensionUniqueName="[Employee]" displayFolder="" count="0" memberValueDatatype="20" unbalanced="0"/>
    <cacheHierarchy uniqueName="[Employee].[Overtime]" caption="Overtime" attribute="1" defaultMemberUniqueName="[Employee].[Overtime].[All]" allUniqueName="[Employee].[Overtime].[All]" dimensionUniqueName="[Employee]" displayFolder="" count="0" memberValueDatatype="130" unbalanced="0"/>
    <cacheHierarchy uniqueName="[Employee].[Overtime Incentive]" caption="Overtime Incentive" attribute="1" defaultMemberUniqueName="[Employee].[Overtime Incentive].[All]" allUniqueName="[Employee].[Overtime Incentive].[All]" dimensionUniqueName="[Employee]" displayFolder="" count="0" memberValueDatatype="130" unbalanced="0"/>
    <cacheHierarchy uniqueName="[Employee].[Salary ( After overtime )]" caption="Salary ( After overtime )" attribute="1" defaultMemberUniqueName="[Employee].[Salary ( After overtime )].[All]" allUniqueName="[Employee].[Salary ( After overtime )].[All]" dimensionUniqueName="[Employee]" displayFolder="" count="0" memberValueDatatype="20" unbalanced="0"/>
    <cacheHierarchy uniqueName="[Employee].[Marital Status]" caption="Marital Status" attribute="1" defaultMemberUniqueName="[Employee].[Marital Status].[All]" allUniqueName="[Employee].[Marital Status].[All]" dimensionUniqueName="[Employee]" displayFolder="" count="0" memberValueDatatype="130" unbalanced="0"/>
    <cacheHierarchy uniqueName="[JOB].[Job ID]" caption="Job ID" attribute="1" defaultMemberUniqueName="[JOB].[Job ID].[All]" allUniqueName="[JOB].[Job ID].[All]" dimensionUniqueName="[JOB]" displayFolder="" count="0" memberValueDatatype="130" unbalanced="0"/>
    <cacheHierarchy uniqueName="[JOB].[Job]" caption="Job" attribute="1" defaultMemberUniqueName="[JOB].[Job].[All]" allUniqueName="[JOB].[Job].[All]" dimensionUniqueName="[JOB]" displayFolder="" count="0" memberValueDatatype="130" unbalanced="0"/>
    <cacheHierarchy uniqueName="[Main].[Employee ID]" caption="Employee ID" attribute="1" defaultMemberUniqueName="[Main].[Employee ID].[All]" allUniqueName="[Main].[Employee ID].[All]" dimensionUniqueName="[Main]" displayFolder="" count="0" memberValueDatatype="130" unbalanced="0"/>
    <cacheHierarchy uniqueName="[Main].[Department ID]" caption="Department ID" attribute="1" defaultMemberUniqueName="[Main].[Department ID].[All]" allUniqueName="[Main].[Department ID].[All]" dimensionUniqueName="[Main]" displayFolder="" count="0" memberValueDatatype="130" unbalanced="0"/>
    <cacheHierarchy uniqueName="[Main].[JOB ID]" caption="JOB ID" attribute="1" defaultMemberUniqueName="[Main].[JOB ID].[All]" allUniqueName="[Main].[JOB ID].[All]" dimensionUniqueName="[Main]" displayFolder="" count="0" memberValueDatatype="130" unbalanced="0"/>
    <cacheHierarchy uniqueName="[Main].[Attrition]" caption="Attrition" attribute="1" defaultMemberUniqueName="[Main].[Attrition].[All]" allUniqueName="[Main].[Attrition].[All]" dimensionUniqueName="[Main]" displayFolder="" count="0" memberValueDatatype="130" unbalanced="0"/>
    <cacheHierarchy uniqueName="[Measures].[Count of Employee id]" caption="Count of Employee id" measure="1" displayFolder="" measureGroup="Employee" count="0">
      <extLst>
        <ext xmlns:x15="http://schemas.microsoft.com/office/spreadsheetml/2010/11/main" uri="{B97F6D7D-B522-45F9-BDA1-12C45D357490}">
          <x15:cacheHierarchy aggregatedColumn="3"/>
        </ext>
      </extLst>
    </cacheHierarchy>
    <cacheHierarchy uniqueName="[Measures].[Count of Department]" caption="Count of Department" measure="1" displayFolder="" measureGroup="Department" count="0">
      <extLst>
        <ext xmlns:x15="http://schemas.microsoft.com/office/spreadsheetml/2010/11/main" uri="{B97F6D7D-B522-45F9-BDA1-12C45D357490}">
          <x15:cacheHierarchy aggregatedColumn="0"/>
        </ext>
      </extLst>
    </cacheHierarchy>
    <cacheHierarchy uniqueName="[Measures].[Count of Attrition]" caption="Count of Attrition" measure="1" displayFolder="" measureGroup="Main" count="0">
      <extLst>
        <ext xmlns:x15="http://schemas.microsoft.com/office/spreadsheetml/2010/11/main" uri="{B97F6D7D-B522-45F9-BDA1-12C45D357490}">
          <x15:cacheHierarchy aggregatedColumn="18"/>
        </ext>
      </extLst>
    </cacheHierarchy>
    <cacheHierarchy uniqueName="[Measures].[No of employee]" caption="No of employee" measure="1" displayFolder="" measureGroup="Main" count="0"/>
    <cacheHierarchy uniqueName="[Measures].[Attrition Count]" caption="Attrition Count" measure="1" displayFolder="" measureGroup="Main" count="0"/>
    <cacheHierarchy uniqueName="[Measures].[Attrition Rate]" caption="Attrition Rate" measure="1" displayFolder="" measureGroup="Main" count="0"/>
    <cacheHierarchy uniqueName="[Measures].[AVG. Rating]" caption="AVG. Rating" measure="1" displayFolder="" measureGroup="Main" count="0"/>
    <cacheHierarchy uniqueName="[Measures].[Avg.Salary]" caption="Avg.Salary" measure="1" displayFolder="" measureGroup="Main" count="0"/>
    <cacheHierarchy uniqueName="[Measures].[Avg.Experience]" caption="Avg.Experience" measure="1" displayFolder="" measureGroup="Main" count="0" oneField="1">
      <fieldsUsage count="1">
        <fieldUsage x="0"/>
      </fieldsUsage>
    </cacheHierarchy>
    <cacheHierarchy uniqueName="[Measures].[__XL_Count Table1]" caption="__XL_Count Table1" measure="1" displayFolder="" measureGroup="Main" count="0" hidden="1"/>
    <cacheHierarchy uniqueName="[Measures].[__XL_Count Table2]" caption="__XL_Count Table2" measure="1" displayFolder="" measureGroup="Employee" count="0" hidden="1"/>
    <cacheHierarchy uniqueName="[Measures].[__XL_Count Table3]" caption="__XL_Count Table3" measure="1" displayFolder="" measureGroup="Department" count="0" hidden="1"/>
    <cacheHierarchy uniqueName="[Measures].[__XL_Count Table4]" caption="__XL_Count Table4" measure="1" displayFolder="" measureGroup="JOB" count="0" hidden="1"/>
    <cacheHierarchy uniqueName="[Measures].[__No measures defined]" caption="__No measures defined" measure="1" displayFolder="" count="0" hidden="1"/>
  </cacheHierarchies>
  <kpis count="0"/>
  <dimensions count="5">
    <dimension name="Department" uniqueName="[Department]" caption="Department"/>
    <dimension name="Employee" uniqueName="[Employee]" caption="Employee"/>
    <dimension name="JOB" uniqueName="[JOB]" caption="JOB"/>
    <dimension name="Main" uniqueName="[Main]" caption="Main"/>
    <dimension measure="1" name="Measures" uniqueName="[Measures]" caption="Measures"/>
  </dimensions>
  <measureGroups count="4">
    <measureGroup name="Department" caption="Department"/>
    <measureGroup name="Employee" caption="Employee"/>
    <measureGroup name="JOB" caption="JOB"/>
    <measureGroup name="Main" caption="Main"/>
  </measureGroups>
  <maps count="9">
    <map measureGroup="0" dimension="0"/>
    <map measureGroup="1" dimension="0"/>
    <map measureGroup="1" dimension="1"/>
    <map measureGroup="1" dimension="2"/>
    <map measureGroup="1" dimension="3"/>
    <map measureGroup="2" dimension="2"/>
    <map measureGroup="3" dimension="0"/>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yash Gupta" refreshedDate="46225.951066898146" backgroundQuery="1" createdVersion="8" refreshedVersion="8" minRefreshableVersion="3" recordCount="0" supportSubquery="1" supportAdvancedDrill="1" xr:uid="{347F54CF-EE26-4795-80B7-2EF6D9F01762}">
  <cacheSource type="external" connectionId="1"/>
  <cacheFields count="2">
    <cacheField name="[Department].[Department].[Department]" caption="Department" numFmtId="0" level="1">
      <sharedItems count="6">
        <s v="Finance"/>
        <s v="HR"/>
        <s v="IT"/>
        <s v="Marketing"/>
        <s v="Operations"/>
        <s v="Sales Depo"/>
      </sharedItems>
    </cacheField>
    <cacheField name="[Measures].[Attrition Count]" caption="Attrition Count" numFmtId="0" hierarchy="23" level="32767"/>
  </cacheFields>
  <cacheHierarchies count="33">
    <cacheHierarchy uniqueName="[Department].[Department]" caption="Department" attribute="1" defaultMemberUniqueName="[Department].[Department].[All]" allUniqueName="[Department].[Department].[All]" dimensionUniqueName="[Department]" displayFolder="" count="2" memberValueDatatype="130" unbalanced="0">
      <fieldsUsage count="2">
        <fieldUsage x="-1"/>
        <fieldUsage x="0"/>
      </fieldsUsage>
    </cacheHierarchy>
    <cacheHierarchy uniqueName="[Department].[Department id]" caption="Department id" attribute="1" defaultMemberUniqueName="[Department].[Department id].[All]" allUniqueName="[Department].[Department id].[All]" dimensionUniqueName="[Department]" displayFolder="" count="0" memberValueDatatype="130" unbalanced="0"/>
    <cacheHierarchy uniqueName="[Employee].[Employee name]" caption="Employee name" attribute="1" defaultMemberUniqueName="[Employee].[Employee name].[All]" allUniqueName="[Employee].[Employee name].[All]" dimensionUniqueName="[Employee]" displayFolder="" count="0" memberValueDatatype="130" unbalanced="0"/>
    <cacheHierarchy uniqueName="[Employee].[Employee id]" caption="Employee id" attribute="1" defaultMemberUniqueName="[Employee].[Employee id].[All]" allUniqueName="[Employee].[Employee id].[All]" dimensionUniqueName="[Employee]" displayFolder="" count="0" memberValueDatatype="130" unbalanced="0"/>
    <cacheHierarchy uniqueName="[Employee].[Gender]" caption="Gender" attribute="1" defaultMemberUniqueName="[Employee].[Gender].[All]" allUniqueName="[Employee].[Gender].[All]" dimensionUniqueName="[Employee]" displayFolder="" count="0" memberValueDatatype="130" unbalanced="0"/>
    <cacheHierarchy uniqueName="[Employee].[Education]" caption="Education" attribute="1" defaultMemberUniqueName="[Employee].[Education].[All]" allUniqueName="[Employee].[Education].[All]" dimensionUniqueName="[Employee]" displayFolder="" count="0" memberValueDatatype="130" unbalanced="0"/>
    <cacheHierarchy uniqueName="[Employee].[Salary]" caption="Salary" attribute="1" defaultMemberUniqueName="[Employee].[Salary].[All]" allUniqueName="[Employee].[Salary].[All]" dimensionUniqueName="[Employee]" displayFolder="" count="0" memberValueDatatype="20" unbalanced="0"/>
    <cacheHierarchy uniqueName="[Employee].[Rating]" caption="Rating" attribute="1" defaultMemberUniqueName="[Employee].[Rating].[All]" allUniqueName="[Employee].[Rating].[All]" dimensionUniqueName="[Employee]" displayFolder="" count="0" memberValueDatatype="20" unbalanced="0"/>
    <cacheHierarchy uniqueName="[Employee].[Total Year of Experience]" caption="Total Year of Experience" attribute="1" defaultMemberUniqueName="[Employee].[Total Year of Experience].[All]" allUniqueName="[Employee].[Total Year of Experience].[All]" dimensionUniqueName="[Employee]" displayFolder="" count="0" memberValueDatatype="20" unbalanced="0"/>
    <cacheHierarchy uniqueName="[Employee].[Overtime]" caption="Overtime" attribute="1" defaultMemberUniqueName="[Employee].[Overtime].[All]" allUniqueName="[Employee].[Overtime].[All]" dimensionUniqueName="[Employee]" displayFolder="" count="0" memberValueDatatype="130" unbalanced="0"/>
    <cacheHierarchy uniqueName="[Employee].[Overtime Incentive]" caption="Overtime Incentive" attribute="1" defaultMemberUniqueName="[Employee].[Overtime Incentive].[All]" allUniqueName="[Employee].[Overtime Incentive].[All]" dimensionUniqueName="[Employee]" displayFolder="" count="0" memberValueDatatype="130" unbalanced="0"/>
    <cacheHierarchy uniqueName="[Employee].[Salary ( After overtime )]" caption="Salary ( After overtime )" attribute="1" defaultMemberUniqueName="[Employee].[Salary ( After overtime )].[All]" allUniqueName="[Employee].[Salary ( After overtime )].[All]" dimensionUniqueName="[Employee]" displayFolder="" count="0" memberValueDatatype="20" unbalanced="0"/>
    <cacheHierarchy uniqueName="[Employee].[Marital Status]" caption="Marital Status" attribute="1" defaultMemberUniqueName="[Employee].[Marital Status].[All]" allUniqueName="[Employee].[Marital Status].[All]" dimensionUniqueName="[Employee]" displayFolder="" count="0" memberValueDatatype="130" unbalanced="0"/>
    <cacheHierarchy uniqueName="[JOB].[Job ID]" caption="Job ID" attribute="1" defaultMemberUniqueName="[JOB].[Job ID].[All]" allUniqueName="[JOB].[Job ID].[All]" dimensionUniqueName="[JOB]" displayFolder="" count="0" memberValueDatatype="130" unbalanced="0"/>
    <cacheHierarchy uniqueName="[JOB].[Job]" caption="Job" attribute="1" defaultMemberUniqueName="[JOB].[Job].[All]" allUniqueName="[JOB].[Job].[All]" dimensionUniqueName="[JOB]" displayFolder="" count="0" memberValueDatatype="130" unbalanced="0"/>
    <cacheHierarchy uniqueName="[Main].[Employee ID]" caption="Employee ID" attribute="1" defaultMemberUniqueName="[Main].[Employee ID].[All]" allUniqueName="[Main].[Employee ID].[All]" dimensionUniqueName="[Main]" displayFolder="" count="0" memberValueDatatype="130" unbalanced="0"/>
    <cacheHierarchy uniqueName="[Main].[Department ID]" caption="Department ID" attribute="1" defaultMemberUniqueName="[Main].[Department ID].[All]" allUniqueName="[Main].[Department ID].[All]" dimensionUniqueName="[Main]" displayFolder="" count="0" memberValueDatatype="130" unbalanced="0"/>
    <cacheHierarchy uniqueName="[Main].[JOB ID]" caption="JOB ID" attribute="1" defaultMemberUniqueName="[Main].[JOB ID].[All]" allUniqueName="[Main].[JOB ID].[All]" dimensionUniqueName="[Main]" displayFolder="" count="0" memberValueDatatype="130" unbalanced="0"/>
    <cacheHierarchy uniqueName="[Main].[Attrition]" caption="Attrition" attribute="1" defaultMemberUniqueName="[Main].[Attrition].[All]" allUniqueName="[Main].[Attrition].[All]" dimensionUniqueName="[Main]" displayFolder="" count="0" memberValueDatatype="130" unbalanced="0"/>
    <cacheHierarchy uniqueName="[Measures].[Count of Employee id]" caption="Count of Employee id" measure="1" displayFolder="" measureGroup="Employee" count="0">
      <extLst>
        <ext xmlns:x15="http://schemas.microsoft.com/office/spreadsheetml/2010/11/main" uri="{B97F6D7D-B522-45F9-BDA1-12C45D357490}">
          <x15:cacheHierarchy aggregatedColumn="3"/>
        </ext>
      </extLst>
    </cacheHierarchy>
    <cacheHierarchy uniqueName="[Measures].[Count of Department]" caption="Count of Department" measure="1" displayFolder="" measureGroup="Department" count="0">
      <extLst>
        <ext xmlns:x15="http://schemas.microsoft.com/office/spreadsheetml/2010/11/main" uri="{B97F6D7D-B522-45F9-BDA1-12C45D357490}">
          <x15:cacheHierarchy aggregatedColumn="0"/>
        </ext>
      </extLst>
    </cacheHierarchy>
    <cacheHierarchy uniqueName="[Measures].[Count of Attrition]" caption="Count of Attrition" measure="1" displayFolder="" measureGroup="Main" count="0">
      <extLst>
        <ext xmlns:x15="http://schemas.microsoft.com/office/spreadsheetml/2010/11/main" uri="{B97F6D7D-B522-45F9-BDA1-12C45D357490}">
          <x15:cacheHierarchy aggregatedColumn="18"/>
        </ext>
      </extLst>
    </cacheHierarchy>
    <cacheHierarchy uniqueName="[Measures].[No of employee]" caption="No of employee" measure="1" displayFolder="" measureGroup="Main" count="0"/>
    <cacheHierarchy uniqueName="[Measures].[Attrition Count]" caption="Attrition Count" measure="1" displayFolder="" measureGroup="Main" count="0" oneField="1">
      <fieldsUsage count="1">
        <fieldUsage x="1"/>
      </fieldsUsage>
    </cacheHierarchy>
    <cacheHierarchy uniqueName="[Measures].[Attrition Rate]" caption="Attrition Rate" measure="1" displayFolder="" measureGroup="Main" count="0"/>
    <cacheHierarchy uniqueName="[Measures].[AVG. Rating]" caption="AVG. Rating" measure="1" displayFolder="" measureGroup="Main" count="0"/>
    <cacheHierarchy uniqueName="[Measures].[Avg.Salary]" caption="Avg.Salary" measure="1" displayFolder="" measureGroup="Main" count="0"/>
    <cacheHierarchy uniqueName="[Measures].[Avg.Experience]" caption="Avg.Experience" measure="1" displayFolder="" measureGroup="Main" count="0"/>
    <cacheHierarchy uniqueName="[Measures].[__XL_Count Table1]" caption="__XL_Count Table1" measure="1" displayFolder="" measureGroup="Main" count="0" hidden="1"/>
    <cacheHierarchy uniqueName="[Measures].[__XL_Count Table2]" caption="__XL_Count Table2" measure="1" displayFolder="" measureGroup="Employee" count="0" hidden="1"/>
    <cacheHierarchy uniqueName="[Measures].[__XL_Count Table3]" caption="__XL_Count Table3" measure="1" displayFolder="" measureGroup="Department" count="0" hidden="1"/>
    <cacheHierarchy uniqueName="[Measures].[__XL_Count Table4]" caption="__XL_Count Table4" measure="1" displayFolder="" measureGroup="JOB" count="0" hidden="1"/>
    <cacheHierarchy uniqueName="[Measures].[__No measures defined]" caption="__No measures defined" measure="1" displayFolder="" count="0" hidden="1"/>
  </cacheHierarchies>
  <kpis count="0"/>
  <dimensions count="5">
    <dimension name="Department" uniqueName="[Department]" caption="Department"/>
    <dimension name="Employee" uniqueName="[Employee]" caption="Employee"/>
    <dimension name="JOB" uniqueName="[JOB]" caption="JOB"/>
    <dimension name="Main" uniqueName="[Main]" caption="Main"/>
    <dimension measure="1" name="Measures" uniqueName="[Measures]" caption="Measures"/>
  </dimensions>
  <measureGroups count="4">
    <measureGroup name="Department" caption="Department"/>
    <measureGroup name="Employee" caption="Employee"/>
    <measureGroup name="JOB" caption="JOB"/>
    <measureGroup name="Main" caption="Main"/>
  </measureGroups>
  <maps count="9">
    <map measureGroup="0" dimension="0"/>
    <map measureGroup="1" dimension="0"/>
    <map measureGroup="1" dimension="1"/>
    <map measureGroup="1" dimension="2"/>
    <map measureGroup="1" dimension="3"/>
    <map measureGroup="2" dimension="2"/>
    <map measureGroup="3" dimension="0"/>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yash Gupta" refreshedDate="46225.951067824077" backgroundQuery="1" createdVersion="8" refreshedVersion="8" minRefreshableVersion="3" recordCount="0" supportSubquery="1" supportAdvancedDrill="1" xr:uid="{5C819724-4E23-4DE3-B9B0-C230C7701A1C}">
  <cacheSource type="external" connectionId="1"/>
  <cacheFields count="2">
    <cacheField name="[Department].[Department].[Department]" caption="Department" numFmtId="0" level="1">
      <sharedItems count="6">
        <s v="Finance"/>
        <s v="HR"/>
        <s v="IT"/>
        <s v="Marketing"/>
        <s v="Operations"/>
        <s v="Sales Depo"/>
      </sharedItems>
    </cacheField>
    <cacheField name="[Measures].[Count of Employee id]" caption="Count of Employee id" numFmtId="0" hierarchy="19" level="32767"/>
  </cacheFields>
  <cacheHierarchies count="33">
    <cacheHierarchy uniqueName="[Department].[Department]" caption="Department" attribute="1" defaultMemberUniqueName="[Department].[Department].[All]" allUniqueName="[Department].[Department].[All]" dimensionUniqueName="[Department]" displayFolder="" count="2" memberValueDatatype="130" unbalanced="0">
      <fieldsUsage count="2">
        <fieldUsage x="-1"/>
        <fieldUsage x="0"/>
      </fieldsUsage>
    </cacheHierarchy>
    <cacheHierarchy uniqueName="[Department].[Department id]" caption="Department id" attribute="1" defaultMemberUniqueName="[Department].[Department id].[All]" allUniqueName="[Department].[Department id].[All]" dimensionUniqueName="[Department]" displayFolder="" count="0" memberValueDatatype="130" unbalanced="0"/>
    <cacheHierarchy uniqueName="[Employee].[Employee name]" caption="Employee name" attribute="1" defaultMemberUniqueName="[Employee].[Employee name].[All]" allUniqueName="[Employee].[Employee name].[All]" dimensionUniqueName="[Employee]" displayFolder="" count="0" memberValueDatatype="130" unbalanced="0"/>
    <cacheHierarchy uniqueName="[Employee].[Employee id]" caption="Employee id" attribute="1" defaultMemberUniqueName="[Employee].[Employee id].[All]" allUniqueName="[Employee].[Employee id].[All]" dimensionUniqueName="[Employee]" displayFolder="" count="0" memberValueDatatype="130" unbalanced="0"/>
    <cacheHierarchy uniqueName="[Employee].[Gender]" caption="Gender" attribute="1" defaultMemberUniqueName="[Employee].[Gender].[All]" allUniqueName="[Employee].[Gender].[All]" dimensionUniqueName="[Employee]" displayFolder="" count="0" memberValueDatatype="130" unbalanced="0"/>
    <cacheHierarchy uniqueName="[Employee].[Education]" caption="Education" attribute="1" defaultMemberUniqueName="[Employee].[Education].[All]" allUniqueName="[Employee].[Education].[All]" dimensionUniqueName="[Employee]" displayFolder="" count="0" memberValueDatatype="130" unbalanced="0"/>
    <cacheHierarchy uniqueName="[Employee].[Salary]" caption="Salary" attribute="1" defaultMemberUniqueName="[Employee].[Salary].[All]" allUniqueName="[Employee].[Salary].[All]" dimensionUniqueName="[Employee]" displayFolder="" count="0" memberValueDatatype="20" unbalanced="0"/>
    <cacheHierarchy uniqueName="[Employee].[Rating]" caption="Rating" attribute="1" defaultMemberUniqueName="[Employee].[Rating].[All]" allUniqueName="[Employee].[Rating].[All]" dimensionUniqueName="[Employee]" displayFolder="" count="0" memberValueDatatype="20" unbalanced="0"/>
    <cacheHierarchy uniqueName="[Employee].[Total Year of Experience]" caption="Total Year of Experience" attribute="1" defaultMemberUniqueName="[Employee].[Total Year of Experience].[All]" allUniqueName="[Employee].[Total Year of Experience].[All]" dimensionUniqueName="[Employee]" displayFolder="" count="0" memberValueDatatype="20" unbalanced="0"/>
    <cacheHierarchy uniqueName="[Employee].[Overtime]" caption="Overtime" attribute="1" defaultMemberUniqueName="[Employee].[Overtime].[All]" allUniqueName="[Employee].[Overtime].[All]" dimensionUniqueName="[Employee]" displayFolder="" count="0" memberValueDatatype="130" unbalanced="0"/>
    <cacheHierarchy uniqueName="[Employee].[Overtime Incentive]" caption="Overtime Incentive" attribute="1" defaultMemberUniqueName="[Employee].[Overtime Incentive].[All]" allUniqueName="[Employee].[Overtime Incentive].[All]" dimensionUniqueName="[Employee]" displayFolder="" count="0" memberValueDatatype="130" unbalanced="0"/>
    <cacheHierarchy uniqueName="[Employee].[Salary ( After overtime )]" caption="Salary ( After overtime )" attribute="1" defaultMemberUniqueName="[Employee].[Salary ( After overtime )].[All]" allUniqueName="[Employee].[Salary ( After overtime )].[All]" dimensionUniqueName="[Employee]" displayFolder="" count="0" memberValueDatatype="20" unbalanced="0"/>
    <cacheHierarchy uniqueName="[Employee].[Marital Status]" caption="Marital Status" attribute="1" defaultMemberUniqueName="[Employee].[Marital Status].[All]" allUniqueName="[Employee].[Marital Status].[All]" dimensionUniqueName="[Employee]" displayFolder="" count="0" memberValueDatatype="130" unbalanced="0"/>
    <cacheHierarchy uniqueName="[JOB].[Job ID]" caption="Job ID" attribute="1" defaultMemberUniqueName="[JOB].[Job ID].[All]" allUniqueName="[JOB].[Job ID].[All]" dimensionUniqueName="[JOB]" displayFolder="" count="0" memberValueDatatype="130" unbalanced="0"/>
    <cacheHierarchy uniqueName="[JOB].[Job]" caption="Job" attribute="1" defaultMemberUniqueName="[JOB].[Job].[All]" allUniqueName="[JOB].[Job].[All]" dimensionUniqueName="[JOB]" displayFolder="" count="0" memberValueDatatype="130" unbalanced="0"/>
    <cacheHierarchy uniqueName="[Main].[Employee ID]" caption="Employee ID" attribute="1" defaultMemberUniqueName="[Main].[Employee ID].[All]" allUniqueName="[Main].[Employee ID].[All]" dimensionUniqueName="[Main]" displayFolder="" count="0" memberValueDatatype="130" unbalanced="0"/>
    <cacheHierarchy uniqueName="[Main].[Department ID]" caption="Department ID" attribute="1" defaultMemberUniqueName="[Main].[Department ID].[All]" allUniqueName="[Main].[Department ID].[All]" dimensionUniqueName="[Main]" displayFolder="" count="0" memberValueDatatype="130" unbalanced="0"/>
    <cacheHierarchy uniqueName="[Main].[JOB ID]" caption="JOB ID" attribute="1" defaultMemberUniqueName="[Main].[JOB ID].[All]" allUniqueName="[Main].[JOB ID].[All]" dimensionUniqueName="[Main]" displayFolder="" count="0" memberValueDatatype="130" unbalanced="0"/>
    <cacheHierarchy uniqueName="[Main].[Attrition]" caption="Attrition" attribute="1" defaultMemberUniqueName="[Main].[Attrition].[All]" allUniqueName="[Main].[Attrition].[All]" dimensionUniqueName="[Main]" displayFolder="" count="0" memberValueDatatype="130" unbalanced="0"/>
    <cacheHierarchy uniqueName="[Measures].[Count of Employee id]" caption="Count of Employee id" measure="1" displayFolder="" measureGroup="Employee" count="0" oneField="1">
      <fieldsUsage count="1">
        <fieldUsage x="1"/>
      </fieldsUsage>
      <extLst>
        <ext xmlns:x15="http://schemas.microsoft.com/office/spreadsheetml/2010/11/main" uri="{B97F6D7D-B522-45F9-BDA1-12C45D357490}">
          <x15:cacheHierarchy aggregatedColumn="3"/>
        </ext>
      </extLst>
    </cacheHierarchy>
    <cacheHierarchy uniqueName="[Measures].[Count of Department]" caption="Count of Department" measure="1" displayFolder="" measureGroup="Department" count="0">
      <extLst>
        <ext xmlns:x15="http://schemas.microsoft.com/office/spreadsheetml/2010/11/main" uri="{B97F6D7D-B522-45F9-BDA1-12C45D357490}">
          <x15:cacheHierarchy aggregatedColumn="0"/>
        </ext>
      </extLst>
    </cacheHierarchy>
    <cacheHierarchy uniqueName="[Measures].[Count of Attrition]" caption="Count of Attrition" measure="1" displayFolder="" measureGroup="Main" count="0">
      <extLst>
        <ext xmlns:x15="http://schemas.microsoft.com/office/spreadsheetml/2010/11/main" uri="{B97F6D7D-B522-45F9-BDA1-12C45D357490}">
          <x15:cacheHierarchy aggregatedColumn="18"/>
        </ext>
      </extLst>
    </cacheHierarchy>
    <cacheHierarchy uniqueName="[Measures].[No of employee]" caption="No of employee" measure="1" displayFolder="" measureGroup="Main" count="0"/>
    <cacheHierarchy uniqueName="[Measures].[Attrition Count]" caption="Attrition Count" measure="1" displayFolder="" measureGroup="Main" count="0"/>
    <cacheHierarchy uniqueName="[Measures].[Attrition Rate]" caption="Attrition Rate" measure="1" displayFolder="" measureGroup="Main" count="0"/>
    <cacheHierarchy uniqueName="[Measures].[AVG. Rating]" caption="AVG. Rating" measure="1" displayFolder="" measureGroup="Main" count="0"/>
    <cacheHierarchy uniqueName="[Measures].[Avg.Salary]" caption="Avg.Salary" measure="1" displayFolder="" measureGroup="Main" count="0"/>
    <cacheHierarchy uniqueName="[Measures].[Avg.Experience]" caption="Avg.Experience" measure="1" displayFolder="" measureGroup="Main" count="0"/>
    <cacheHierarchy uniqueName="[Measures].[__XL_Count Table1]" caption="__XL_Count Table1" measure="1" displayFolder="" measureGroup="Main" count="0" hidden="1"/>
    <cacheHierarchy uniqueName="[Measures].[__XL_Count Table2]" caption="__XL_Count Table2" measure="1" displayFolder="" measureGroup="Employee" count="0" hidden="1"/>
    <cacheHierarchy uniqueName="[Measures].[__XL_Count Table3]" caption="__XL_Count Table3" measure="1" displayFolder="" measureGroup="Department" count="0" hidden="1"/>
    <cacheHierarchy uniqueName="[Measures].[__XL_Count Table4]" caption="__XL_Count Table4" measure="1" displayFolder="" measureGroup="JOB" count="0" hidden="1"/>
    <cacheHierarchy uniqueName="[Measures].[__No measures defined]" caption="__No measures defined" measure="1" displayFolder="" count="0" hidden="1"/>
  </cacheHierarchies>
  <kpis count="0"/>
  <dimensions count="5">
    <dimension name="Department" uniqueName="[Department]" caption="Department"/>
    <dimension name="Employee" uniqueName="[Employee]" caption="Employee"/>
    <dimension name="JOB" uniqueName="[JOB]" caption="JOB"/>
    <dimension name="Main" uniqueName="[Main]" caption="Main"/>
    <dimension measure="1" name="Measures" uniqueName="[Measures]" caption="Measures"/>
  </dimensions>
  <measureGroups count="4">
    <measureGroup name="Department" caption="Department"/>
    <measureGroup name="Employee" caption="Employee"/>
    <measureGroup name="JOB" caption="JOB"/>
    <measureGroup name="Main" caption="Main"/>
  </measureGroups>
  <maps count="9">
    <map measureGroup="0" dimension="0"/>
    <map measureGroup="1" dimension="0"/>
    <map measureGroup="1" dimension="1"/>
    <map measureGroup="1" dimension="2"/>
    <map measureGroup="1" dimension="3"/>
    <map measureGroup="2" dimension="2"/>
    <map measureGroup="3" dimension="0"/>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yash Gupta" refreshedDate="46225.951068634262" backgroundQuery="1" createdVersion="8" refreshedVersion="8" minRefreshableVersion="3" recordCount="0" supportSubquery="1" supportAdvancedDrill="1" xr:uid="{6E9A661C-7A11-4993-97C9-BA08302B818F}">
  <cacheSource type="external" connectionId="1"/>
  <cacheFields count="2">
    <cacheField name="[Measures].[Count of Employee id]" caption="Count of Employee id" numFmtId="0" hierarchy="19" level="32767"/>
    <cacheField name="[Measures].[Attrition Count]" caption="Attrition Count" numFmtId="0" hierarchy="23" level="32767"/>
  </cacheFields>
  <cacheHierarchies count="33">
    <cacheHierarchy uniqueName="[Department].[Department]" caption="Department" attribute="1" defaultMemberUniqueName="[Department].[Department].[All]" allUniqueName="[Department].[Department].[All]" dimensionUniqueName="[Department]" displayFolder="" count="0" memberValueDatatype="130" unbalanced="0"/>
    <cacheHierarchy uniqueName="[Department].[Department id]" caption="Department id" attribute="1" defaultMemberUniqueName="[Department].[Department id].[All]" allUniqueName="[Department].[Department id].[All]" dimensionUniqueName="[Department]" displayFolder="" count="0" memberValueDatatype="130" unbalanced="0"/>
    <cacheHierarchy uniqueName="[Employee].[Employee name]" caption="Employee name" attribute="1" defaultMemberUniqueName="[Employee].[Employee name].[All]" allUniqueName="[Employee].[Employee name].[All]" dimensionUniqueName="[Employee]" displayFolder="" count="0" memberValueDatatype="130" unbalanced="0"/>
    <cacheHierarchy uniqueName="[Employee].[Employee id]" caption="Employee id" attribute="1" defaultMemberUniqueName="[Employee].[Employee id].[All]" allUniqueName="[Employee].[Employee id].[All]" dimensionUniqueName="[Employee]" displayFolder="" count="0" memberValueDatatype="130" unbalanced="0"/>
    <cacheHierarchy uniqueName="[Employee].[Gender]" caption="Gender" attribute="1" defaultMemberUniqueName="[Employee].[Gender].[All]" allUniqueName="[Employee].[Gender].[All]" dimensionUniqueName="[Employee]" displayFolder="" count="0" memberValueDatatype="130" unbalanced="0"/>
    <cacheHierarchy uniqueName="[Employee].[Education]" caption="Education" attribute="1" defaultMemberUniqueName="[Employee].[Education].[All]" allUniqueName="[Employee].[Education].[All]" dimensionUniqueName="[Employee]" displayFolder="" count="0" memberValueDatatype="130" unbalanced="0"/>
    <cacheHierarchy uniqueName="[Employee].[Salary]" caption="Salary" attribute="1" defaultMemberUniqueName="[Employee].[Salary].[All]" allUniqueName="[Employee].[Salary].[All]" dimensionUniqueName="[Employee]" displayFolder="" count="0" memberValueDatatype="20" unbalanced="0"/>
    <cacheHierarchy uniqueName="[Employee].[Rating]" caption="Rating" attribute="1" defaultMemberUniqueName="[Employee].[Rating].[All]" allUniqueName="[Employee].[Rating].[All]" dimensionUniqueName="[Employee]" displayFolder="" count="0" memberValueDatatype="20" unbalanced="0"/>
    <cacheHierarchy uniqueName="[Employee].[Total Year of Experience]" caption="Total Year of Experience" attribute="1" defaultMemberUniqueName="[Employee].[Total Year of Experience].[All]" allUniqueName="[Employee].[Total Year of Experience].[All]" dimensionUniqueName="[Employee]" displayFolder="" count="0" memberValueDatatype="20" unbalanced="0"/>
    <cacheHierarchy uniqueName="[Employee].[Overtime]" caption="Overtime" attribute="1" defaultMemberUniqueName="[Employee].[Overtime].[All]" allUniqueName="[Employee].[Overtime].[All]" dimensionUniqueName="[Employee]" displayFolder="" count="0" memberValueDatatype="130" unbalanced="0"/>
    <cacheHierarchy uniqueName="[Employee].[Overtime Incentive]" caption="Overtime Incentive" attribute="1" defaultMemberUniqueName="[Employee].[Overtime Incentive].[All]" allUniqueName="[Employee].[Overtime Incentive].[All]" dimensionUniqueName="[Employee]" displayFolder="" count="0" memberValueDatatype="130" unbalanced="0"/>
    <cacheHierarchy uniqueName="[Employee].[Salary ( After overtime )]" caption="Salary ( After overtime )" attribute="1" defaultMemberUniqueName="[Employee].[Salary ( After overtime )].[All]" allUniqueName="[Employee].[Salary ( After overtime )].[All]" dimensionUniqueName="[Employee]" displayFolder="" count="0" memberValueDatatype="20" unbalanced="0"/>
    <cacheHierarchy uniqueName="[Employee].[Marital Status]" caption="Marital Status" attribute="1" defaultMemberUniqueName="[Employee].[Marital Status].[All]" allUniqueName="[Employee].[Marital Status].[All]" dimensionUniqueName="[Employee]" displayFolder="" count="0" memberValueDatatype="130" unbalanced="0"/>
    <cacheHierarchy uniqueName="[JOB].[Job ID]" caption="Job ID" attribute="1" defaultMemberUniqueName="[JOB].[Job ID].[All]" allUniqueName="[JOB].[Job ID].[All]" dimensionUniqueName="[JOB]" displayFolder="" count="0" memberValueDatatype="130" unbalanced="0"/>
    <cacheHierarchy uniqueName="[JOB].[Job]" caption="Job" attribute="1" defaultMemberUniqueName="[JOB].[Job].[All]" allUniqueName="[JOB].[Job].[All]" dimensionUniqueName="[JOB]" displayFolder="" count="0" memberValueDatatype="130" unbalanced="0"/>
    <cacheHierarchy uniqueName="[Main].[Employee ID]" caption="Employee ID" attribute="1" defaultMemberUniqueName="[Main].[Employee ID].[All]" allUniqueName="[Main].[Employee ID].[All]" dimensionUniqueName="[Main]" displayFolder="" count="0" memberValueDatatype="130" unbalanced="0"/>
    <cacheHierarchy uniqueName="[Main].[Department ID]" caption="Department ID" attribute="1" defaultMemberUniqueName="[Main].[Department ID].[All]" allUniqueName="[Main].[Department ID].[All]" dimensionUniqueName="[Main]" displayFolder="" count="0" memberValueDatatype="130" unbalanced="0"/>
    <cacheHierarchy uniqueName="[Main].[JOB ID]" caption="JOB ID" attribute="1" defaultMemberUniqueName="[Main].[JOB ID].[All]" allUniqueName="[Main].[JOB ID].[All]" dimensionUniqueName="[Main]" displayFolder="" count="0" memberValueDatatype="130" unbalanced="0"/>
    <cacheHierarchy uniqueName="[Main].[Attrition]" caption="Attrition" attribute="1" defaultMemberUniqueName="[Main].[Attrition].[All]" allUniqueName="[Main].[Attrition].[All]" dimensionUniqueName="[Main]" displayFolder="" count="0" memberValueDatatype="130" unbalanced="0"/>
    <cacheHierarchy uniqueName="[Measures].[Count of Employee id]" caption="Count of Employee id" measure="1" displayFolder="" measureGroup="Employee" count="0" oneField="1">
      <fieldsUsage count="1">
        <fieldUsage x="0"/>
      </fieldsUsage>
      <extLst>
        <ext xmlns:x15="http://schemas.microsoft.com/office/spreadsheetml/2010/11/main" uri="{B97F6D7D-B522-45F9-BDA1-12C45D357490}">
          <x15:cacheHierarchy aggregatedColumn="3"/>
        </ext>
      </extLst>
    </cacheHierarchy>
    <cacheHierarchy uniqueName="[Measures].[Count of Department]" caption="Count of Department" measure="1" displayFolder="" measureGroup="Department" count="0">
      <extLst>
        <ext xmlns:x15="http://schemas.microsoft.com/office/spreadsheetml/2010/11/main" uri="{B97F6D7D-B522-45F9-BDA1-12C45D357490}">
          <x15:cacheHierarchy aggregatedColumn="0"/>
        </ext>
      </extLst>
    </cacheHierarchy>
    <cacheHierarchy uniqueName="[Measures].[Count of Attrition]" caption="Count of Attrition" measure="1" displayFolder="" measureGroup="Main" count="0">
      <extLst>
        <ext xmlns:x15="http://schemas.microsoft.com/office/spreadsheetml/2010/11/main" uri="{B97F6D7D-B522-45F9-BDA1-12C45D357490}">
          <x15:cacheHierarchy aggregatedColumn="18"/>
        </ext>
      </extLst>
    </cacheHierarchy>
    <cacheHierarchy uniqueName="[Measures].[No of employee]" caption="No of employee" measure="1" displayFolder="" measureGroup="Main" count="0"/>
    <cacheHierarchy uniqueName="[Measures].[Attrition Count]" caption="Attrition Count" measure="1" displayFolder="" measureGroup="Main" count="0" oneField="1">
      <fieldsUsage count="1">
        <fieldUsage x="1"/>
      </fieldsUsage>
    </cacheHierarchy>
    <cacheHierarchy uniqueName="[Measures].[Attrition Rate]" caption="Attrition Rate" measure="1" displayFolder="" measureGroup="Main" count="0"/>
    <cacheHierarchy uniqueName="[Measures].[AVG. Rating]" caption="AVG. Rating" measure="1" displayFolder="" measureGroup="Main" count="0"/>
    <cacheHierarchy uniqueName="[Measures].[Avg.Salary]" caption="Avg.Salary" measure="1" displayFolder="" measureGroup="Main" count="0"/>
    <cacheHierarchy uniqueName="[Measures].[Avg.Experience]" caption="Avg.Experience" measure="1" displayFolder="" measureGroup="Main" count="0"/>
    <cacheHierarchy uniqueName="[Measures].[__XL_Count Table1]" caption="__XL_Count Table1" measure="1" displayFolder="" measureGroup="Main" count="0" hidden="1"/>
    <cacheHierarchy uniqueName="[Measures].[__XL_Count Table2]" caption="__XL_Count Table2" measure="1" displayFolder="" measureGroup="Employee" count="0" hidden="1"/>
    <cacheHierarchy uniqueName="[Measures].[__XL_Count Table3]" caption="__XL_Count Table3" measure="1" displayFolder="" measureGroup="Department" count="0" hidden="1"/>
    <cacheHierarchy uniqueName="[Measures].[__XL_Count Table4]" caption="__XL_Count Table4" measure="1" displayFolder="" measureGroup="JOB" count="0" hidden="1"/>
    <cacheHierarchy uniqueName="[Measures].[__No measures defined]" caption="__No measures defined" measure="1" displayFolder="" count="0" hidden="1"/>
  </cacheHierarchies>
  <kpis count="0"/>
  <dimensions count="5">
    <dimension name="Department" uniqueName="[Department]" caption="Department"/>
    <dimension name="Employee" uniqueName="[Employee]" caption="Employee"/>
    <dimension name="JOB" uniqueName="[JOB]" caption="JOB"/>
    <dimension name="Main" uniqueName="[Main]" caption="Main"/>
    <dimension measure="1" name="Measures" uniqueName="[Measures]" caption="Measures"/>
  </dimensions>
  <measureGroups count="4">
    <measureGroup name="Department" caption="Department"/>
    <measureGroup name="Employee" caption="Employee"/>
    <measureGroup name="JOB" caption="JOB"/>
    <measureGroup name="Main" caption="Main"/>
  </measureGroups>
  <maps count="9">
    <map measureGroup="0" dimension="0"/>
    <map measureGroup="1" dimension="0"/>
    <map measureGroup="1" dimension="1"/>
    <map measureGroup="1" dimension="2"/>
    <map measureGroup="1" dimension="3"/>
    <map measureGroup="2" dimension="2"/>
    <map measureGroup="3" dimension="0"/>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yash Gupta" refreshedDate="46225.951069560186" backgroundQuery="1" createdVersion="8" refreshedVersion="8" minRefreshableVersion="3" recordCount="0" supportSubquery="1" supportAdvancedDrill="1" xr:uid="{1AAD3FDA-6190-482E-8D0D-6553F90B4C91}">
  <cacheSource type="external" connectionId="1"/>
  <cacheFields count="2">
    <cacheField name="[Measures].[Count of Attrition]" caption="Count of Attrition" numFmtId="0" hierarchy="21" level="32767"/>
    <cacheField name="[Main].[Attrition].[Attrition]" caption="Attrition" numFmtId="0" hierarchy="18" level="1">
      <sharedItems count="2">
        <s v="No"/>
        <s v="Yes"/>
      </sharedItems>
    </cacheField>
  </cacheFields>
  <cacheHierarchies count="33">
    <cacheHierarchy uniqueName="[Department].[Department]" caption="Department" attribute="1" defaultMemberUniqueName="[Department].[Department].[All]" allUniqueName="[Department].[Department].[All]" dimensionUniqueName="[Department]" displayFolder="" count="0" memberValueDatatype="130" unbalanced="0"/>
    <cacheHierarchy uniqueName="[Department].[Department id]" caption="Department id" attribute="1" defaultMemberUniqueName="[Department].[Department id].[All]" allUniqueName="[Department].[Department id].[All]" dimensionUniqueName="[Department]" displayFolder="" count="0" memberValueDatatype="130" unbalanced="0"/>
    <cacheHierarchy uniqueName="[Employee].[Employee name]" caption="Employee name" attribute="1" defaultMemberUniqueName="[Employee].[Employee name].[All]" allUniqueName="[Employee].[Employee name].[All]" dimensionUniqueName="[Employee]" displayFolder="" count="0" memberValueDatatype="130" unbalanced="0"/>
    <cacheHierarchy uniqueName="[Employee].[Employee id]" caption="Employee id" attribute="1" defaultMemberUniqueName="[Employee].[Employee id].[All]" allUniqueName="[Employee].[Employee id].[All]" dimensionUniqueName="[Employee]" displayFolder="" count="0" memberValueDatatype="130" unbalanced="0"/>
    <cacheHierarchy uniqueName="[Employee].[Gender]" caption="Gender" attribute="1" defaultMemberUniqueName="[Employee].[Gender].[All]" allUniqueName="[Employee].[Gender].[All]" dimensionUniqueName="[Employee]" displayFolder="" count="0" memberValueDatatype="130" unbalanced="0"/>
    <cacheHierarchy uniqueName="[Employee].[Education]" caption="Education" attribute="1" defaultMemberUniqueName="[Employee].[Education].[All]" allUniqueName="[Employee].[Education].[All]" dimensionUniqueName="[Employee]" displayFolder="" count="0" memberValueDatatype="130" unbalanced="0"/>
    <cacheHierarchy uniqueName="[Employee].[Salary]" caption="Salary" attribute="1" defaultMemberUniqueName="[Employee].[Salary].[All]" allUniqueName="[Employee].[Salary].[All]" dimensionUniqueName="[Employee]" displayFolder="" count="0" memberValueDatatype="20" unbalanced="0"/>
    <cacheHierarchy uniqueName="[Employee].[Rating]" caption="Rating" attribute="1" defaultMemberUniqueName="[Employee].[Rating].[All]" allUniqueName="[Employee].[Rating].[All]" dimensionUniqueName="[Employee]" displayFolder="" count="0" memberValueDatatype="20" unbalanced="0"/>
    <cacheHierarchy uniqueName="[Employee].[Total Year of Experience]" caption="Total Year of Experience" attribute="1" defaultMemberUniqueName="[Employee].[Total Year of Experience].[All]" allUniqueName="[Employee].[Total Year of Experience].[All]" dimensionUniqueName="[Employee]" displayFolder="" count="0" memberValueDatatype="20" unbalanced="0"/>
    <cacheHierarchy uniqueName="[Employee].[Overtime]" caption="Overtime" attribute="1" defaultMemberUniqueName="[Employee].[Overtime].[All]" allUniqueName="[Employee].[Overtime].[All]" dimensionUniqueName="[Employee]" displayFolder="" count="0" memberValueDatatype="130" unbalanced="0"/>
    <cacheHierarchy uniqueName="[Employee].[Overtime Incentive]" caption="Overtime Incentive" attribute="1" defaultMemberUniqueName="[Employee].[Overtime Incentive].[All]" allUniqueName="[Employee].[Overtime Incentive].[All]" dimensionUniqueName="[Employee]" displayFolder="" count="0" memberValueDatatype="130" unbalanced="0"/>
    <cacheHierarchy uniqueName="[Employee].[Salary ( After overtime )]" caption="Salary ( After overtime )" attribute="1" defaultMemberUniqueName="[Employee].[Salary ( After overtime )].[All]" allUniqueName="[Employee].[Salary ( After overtime )].[All]" dimensionUniqueName="[Employee]" displayFolder="" count="0" memberValueDatatype="20" unbalanced="0"/>
    <cacheHierarchy uniqueName="[Employee].[Marital Status]" caption="Marital Status" attribute="1" defaultMemberUniqueName="[Employee].[Marital Status].[All]" allUniqueName="[Employee].[Marital Status].[All]" dimensionUniqueName="[Employee]" displayFolder="" count="0" memberValueDatatype="130" unbalanced="0"/>
    <cacheHierarchy uniqueName="[JOB].[Job ID]" caption="Job ID" attribute="1" defaultMemberUniqueName="[JOB].[Job ID].[All]" allUniqueName="[JOB].[Job ID].[All]" dimensionUniqueName="[JOB]" displayFolder="" count="0" memberValueDatatype="130" unbalanced="0"/>
    <cacheHierarchy uniqueName="[JOB].[Job]" caption="Job" attribute="1" defaultMemberUniqueName="[JOB].[Job].[All]" allUniqueName="[JOB].[Job].[All]" dimensionUniqueName="[JOB]" displayFolder="" count="0" memberValueDatatype="130" unbalanced="0"/>
    <cacheHierarchy uniqueName="[Main].[Employee ID]" caption="Employee ID" attribute="1" defaultMemberUniqueName="[Main].[Employee ID].[All]" allUniqueName="[Main].[Employee ID].[All]" dimensionUniqueName="[Main]" displayFolder="" count="0" memberValueDatatype="130" unbalanced="0"/>
    <cacheHierarchy uniqueName="[Main].[Department ID]" caption="Department ID" attribute="1" defaultMemberUniqueName="[Main].[Department ID].[All]" allUniqueName="[Main].[Department ID].[All]" dimensionUniqueName="[Main]" displayFolder="" count="0" memberValueDatatype="130" unbalanced="0"/>
    <cacheHierarchy uniqueName="[Main].[JOB ID]" caption="JOB ID" attribute="1" defaultMemberUniqueName="[Main].[JOB ID].[All]" allUniqueName="[Main].[JOB ID].[All]" dimensionUniqueName="[Main]" displayFolder="" count="0" memberValueDatatype="130" unbalanced="0"/>
    <cacheHierarchy uniqueName="[Main].[Attrition]" caption="Attrition" attribute="1" defaultMemberUniqueName="[Main].[Attrition].[All]" allUniqueName="[Main].[Attrition].[All]" dimensionUniqueName="[Main]" displayFolder="" count="2" memberValueDatatype="130" unbalanced="0">
      <fieldsUsage count="2">
        <fieldUsage x="-1"/>
        <fieldUsage x="1"/>
      </fieldsUsage>
    </cacheHierarchy>
    <cacheHierarchy uniqueName="[Measures].[Count of Employee id]" caption="Count of Employee id" measure="1" displayFolder="" measureGroup="Employee" count="0">
      <extLst>
        <ext xmlns:x15="http://schemas.microsoft.com/office/spreadsheetml/2010/11/main" uri="{B97F6D7D-B522-45F9-BDA1-12C45D357490}">
          <x15:cacheHierarchy aggregatedColumn="3"/>
        </ext>
      </extLst>
    </cacheHierarchy>
    <cacheHierarchy uniqueName="[Measures].[Count of Department]" caption="Count of Department" measure="1" displayFolder="" measureGroup="Department" count="0">
      <extLst>
        <ext xmlns:x15="http://schemas.microsoft.com/office/spreadsheetml/2010/11/main" uri="{B97F6D7D-B522-45F9-BDA1-12C45D357490}">
          <x15:cacheHierarchy aggregatedColumn="0"/>
        </ext>
      </extLst>
    </cacheHierarchy>
    <cacheHierarchy uniqueName="[Measures].[Count of Attrition]" caption="Count of Attrition" measure="1" displayFolder="" measureGroup="Main" count="0" oneField="1">
      <fieldsUsage count="1">
        <fieldUsage x="0"/>
      </fieldsUsage>
      <extLst>
        <ext xmlns:x15="http://schemas.microsoft.com/office/spreadsheetml/2010/11/main" uri="{B97F6D7D-B522-45F9-BDA1-12C45D357490}">
          <x15:cacheHierarchy aggregatedColumn="18"/>
        </ext>
      </extLst>
    </cacheHierarchy>
    <cacheHierarchy uniqueName="[Measures].[No of employee]" caption="No of employee" measure="1" displayFolder="" measureGroup="Main" count="0"/>
    <cacheHierarchy uniqueName="[Measures].[Attrition Count]" caption="Attrition Count" measure="1" displayFolder="" measureGroup="Main" count="0"/>
    <cacheHierarchy uniqueName="[Measures].[Attrition Rate]" caption="Attrition Rate" measure="1" displayFolder="" measureGroup="Main" count="0"/>
    <cacheHierarchy uniqueName="[Measures].[AVG. Rating]" caption="AVG. Rating" measure="1" displayFolder="" measureGroup="Main" count="0"/>
    <cacheHierarchy uniqueName="[Measures].[Avg.Salary]" caption="Avg.Salary" measure="1" displayFolder="" measureGroup="Main" count="0"/>
    <cacheHierarchy uniqueName="[Measures].[Avg.Experience]" caption="Avg.Experience" measure="1" displayFolder="" measureGroup="Main" count="0"/>
    <cacheHierarchy uniqueName="[Measures].[__XL_Count Table1]" caption="__XL_Count Table1" measure="1" displayFolder="" measureGroup="Main" count="0" hidden="1"/>
    <cacheHierarchy uniqueName="[Measures].[__XL_Count Table2]" caption="__XL_Count Table2" measure="1" displayFolder="" measureGroup="Employee" count="0" hidden="1"/>
    <cacheHierarchy uniqueName="[Measures].[__XL_Count Table3]" caption="__XL_Count Table3" measure="1" displayFolder="" measureGroup="Department" count="0" hidden="1"/>
    <cacheHierarchy uniqueName="[Measures].[__XL_Count Table4]" caption="__XL_Count Table4" measure="1" displayFolder="" measureGroup="JOB" count="0" hidden="1"/>
    <cacheHierarchy uniqueName="[Measures].[__No measures defined]" caption="__No measures defined" measure="1" displayFolder="" count="0" hidden="1"/>
  </cacheHierarchies>
  <kpis count="0"/>
  <dimensions count="5">
    <dimension name="Department" uniqueName="[Department]" caption="Department"/>
    <dimension name="Employee" uniqueName="[Employee]" caption="Employee"/>
    <dimension name="JOB" uniqueName="[JOB]" caption="JOB"/>
    <dimension name="Main" uniqueName="[Main]" caption="Main"/>
    <dimension measure="1" name="Measures" uniqueName="[Measures]" caption="Measures"/>
  </dimensions>
  <measureGroups count="4">
    <measureGroup name="Department" caption="Department"/>
    <measureGroup name="Employee" caption="Employee"/>
    <measureGroup name="JOB" caption="JOB"/>
    <measureGroup name="Main" caption="Main"/>
  </measureGroups>
  <maps count="9">
    <map measureGroup="0" dimension="0"/>
    <map measureGroup="1" dimension="0"/>
    <map measureGroup="1" dimension="1"/>
    <map measureGroup="1" dimension="2"/>
    <map measureGroup="1" dimension="3"/>
    <map measureGroup="2" dimension="2"/>
    <map measureGroup="3" dimension="0"/>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yash Gupta" refreshedDate="46225.951074999997" backgroundQuery="1" createdVersion="8" refreshedVersion="8" minRefreshableVersion="3" recordCount="0" supportSubquery="1" supportAdvancedDrill="1" xr:uid="{FCF6A2C5-FC21-413A-9030-4752AC455566}">
  <cacheSource type="external" connectionId="1"/>
  <cacheFields count="5">
    <cacheField name="[JOB].[Job].[Job]" caption="Job" numFmtId="0" hierarchy="14" level="1">
      <sharedItems count="12">
        <s v="Accountant"/>
        <s v="Data Analyst"/>
        <s v="Digital Marketer"/>
        <s v="Financial Analyst"/>
        <s v="HR Executive"/>
        <s v="Marketing Executive"/>
        <s v="Operations Executive"/>
        <s v="Operations Manager"/>
        <s v="Recruiter"/>
        <s v="Sales Executive"/>
        <s v="Sales Manager"/>
        <s v="Software Engineer"/>
      </sharedItems>
    </cacheField>
    <cacheField name="[Measures].[Count of Employee id]" caption="Count of Employee id" numFmtId="0" hierarchy="19" level="32767"/>
    <cacheField name="[Employee].[Overtime].[Overtime]" caption="Overtime" numFmtId="0" hierarchy="9" level="1">
      <sharedItems containsSemiMixedTypes="0" containsNonDate="0" containsString="0"/>
    </cacheField>
    <cacheField name="[Employee].[Gender].[Gender]" caption="Gender" numFmtId="0" hierarchy="4" level="1">
      <sharedItems containsSemiMixedTypes="0" containsNonDate="0" containsString="0"/>
    </cacheField>
    <cacheField name="[Employee].[Marital Status].[Marital Status]" caption="Marital Status" numFmtId="0" hierarchy="12" level="1">
      <sharedItems containsSemiMixedTypes="0" containsNonDate="0" containsString="0"/>
    </cacheField>
  </cacheFields>
  <cacheHierarchies count="33">
    <cacheHierarchy uniqueName="[Department].[Department]" caption="Department" attribute="1" defaultMemberUniqueName="[Department].[Department].[All]" allUniqueName="[Department].[Department].[All]" dimensionUniqueName="[Department]" displayFolder="" count="0" memberValueDatatype="130" unbalanced="0"/>
    <cacheHierarchy uniqueName="[Department].[Department id]" caption="Department id" attribute="1" defaultMemberUniqueName="[Department].[Department id].[All]" allUniqueName="[Department].[Department id].[All]" dimensionUniqueName="[Department]" displayFolder="" count="0" memberValueDatatype="130" unbalanced="0"/>
    <cacheHierarchy uniqueName="[Employee].[Employee name]" caption="Employee name" attribute="1" defaultMemberUniqueName="[Employee].[Employee name].[All]" allUniqueName="[Employee].[Employee name].[All]" dimensionUniqueName="[Employee]" displayFolder="" count="0" memberValueDatatype="130" unbalanced="0"/>
    <cacheHierarchy uniqueName="[Employee].[Employee id]" caption="Employee id" attribute="1" defaultMemberUniqueName="[Employee].[Employee id].[All]" allUniqueName="[Employee].[Employee id].[All]" dimensionUniqueName="[Employee]" displayFolder="" count="0" memberValueDatatype="130" unbalanced="0"/>
    <cacheHierarchy uniqueName="[Employee].[Gender]" caption="Gender" attribute="1" defaultMemberUniqueName="[Employee].[Gender].[All]" allUniqueName="[Employee].[Gender].[All]" dimensionUniqueName="[Employee]" displayFolder="" count="2" memberValueDatatype="130" unbalanced="0">
      <fieldsUsage count="2">
        <fieldUsage x="-1"/>
        <fieldUsage x="3"/>
      </fieldsUsage>
    </cacheHierarchy>
    <cacheHierarchy uniqueName="[Employee].[Education]" caption="Education" attribute="1" defaultMemberUniqueName="[Employee].[Education].[All]" allUniqueName="[Employee].[Education].[All]" dimensionUniqueName="[Employee]" displayFolder="" count="0" memberValueDatatype="130" unbalanced="0"/>
    <cacheHierarchy uniqueName="[Employee].[Salary]" caption="Salary" attribute="1" defaultMemberUniqueName="[Employee].[Salary].[All]" allUniqueName="[Employee].[Salary].[All]" dimensionUniqueName="[Employee]" displayFolder="" count="0" memberValueDatatype="20" unbalanced="0"/>
    <cacheHierarchy uniqueName="[Employee].[Rating]" caption="Rating" attribute="1" defaultMemberUniqueName="[Employee].[Rating].[All]" allUniqueName="[Employee].[Rating].[All]" dimensionUniqueName="[Employee]" displayFolder="" count="0" memberValueDatatype="20" unbalanced="0"/>
    <cacheHierarchy uniqueName="[Employee].[Total Year of Experience]" caption="Total Year of Experience" attribute="1" defaultMemberUniqueName="[Employee].[Total Year of Experience].[All]" allUniqueName="[Employee].[Total Year of Experience].[All]" dimensionUniqueName="[Employee]" displayFolder="" count="0" memberValueDatatype="20" unbalanced="0"/>
    <cacheHierarchy uniqueName="[Employee].[Overtime]" caption="Overtime" attribute="1" defaultMemberUniqueName="[Employee].[Overtime].[All]" allUniqueName="[Employee].[Overtime].[All]" dimensionUniqueName="[Employee]" displayFolder="" count="2" memberValueDatatype="130" unbalanced="0">
      <fieldsUsage count="2">
        <fieldUsage x="-1"/>
        <fieldUsage x="2"/>
      </fieldsUsage>
    </cacheHierarchy>
    <cacheHierarchy uniqueName="[Employee].[Overtime Incentive]" caption="Overtime Incentive" attribute="1" defaultMemberUniqueName="[Employee].[Overtime Incentive].[All]" allUniqueName="[Employee].[Overtime Incentive].[All]" dimensionUniqueName="[Employee]" displayFolder="" count="0" memberValueDatatype="130" unbalanced="0"/>
    <cacheHierarchy uniqueName="[Employee].[Salary ( After overtime )]" caption="Salary ( After overtime )" attribute="1" defaultMemberUniqueName="[Employee].[Salary ( After overtime )].[All]" allUniqueName="[Employee].[Salary ( After overtime )].[All]" dimensionUniqueName="[Employee]" displayFolder="" count="0" memberValueDatatype="20" unbalanced="0"/>
    <cacheHierarchy uniqueName="[Employee].[Marital Status]" caption="Marital Status" attribute="1" defaultMemberUniqueName="[Employee].[Marital Status].[All]" allUniqueName="[Employee].[Marital Status].[All]" dimensionUniqueName="[Employee]" displayFolder="" count="2" memberValueDatatype="130" unbalanced="0">
      <fieldsUsage count="2">
        <fieldUsage x="-1"/>
        <fieldUsage x="4"/>
      </fieldsUsage>
    </cacheHierarchy>
    <cacheHierarchy uniqueName="[JOB].[Job ID]" caption="Job ID" attribute="1" defaultMemberUniqueName="[JOB].[Job ID].[All]" allUniqueName="[JOB].[Job ID].[All]" dimensionUniqueName="[JOB]" displayFolder="" count="0" memberValueDatatype="130" unbalanced="0"/>
    <cacheHierarchy uniqueName="[JOB].[Job]" caption="Job" attribute="1" defaultMemberUniqueName="[JOB].[Job].[All]" allUniqueName="[JOB].[Job].[All]" dimensionUniqueName="[JOB]" displayFolder="" count="2" memberValueDatatype="130" unbalanced="0">
      <fieldsUsage count="2">
        <fieldUsage x="-1"/>
        <fieldUsage x="0"/>
      </fieldsUsage>
    </cacheHierarchy>
    <cacheHierarchy uniqueName="[Main].[Employee ID]" caption="Employee ID" attribute="1" defaultMemberUniqueName="[Main].[Employee ID].[All]" allUniqueName="[Main].[Employee ID].[All]" dimensionUniqueName="[Main]" displayFolder="" count="0" memberValueDatatype="130" unbalanced="0"/>
    <cacheHierarchy uniqueName="[Main].[Department ID]" caption="Department ID" attribute="1" defaultMemberUniqueName="[Main].[Department ID].[All]" allUniqueName="[Main].[Department ID].[All]" dimensionUniqueName="[Main]" displayFolder="" count="0" memberValueDatatype="130" unbalanced="0"/>
    <cacheHierarchy uniqueName="[Main].[JOB ID]" caption="JOB ID" attribute="1" defaultMemberUniqueName="[Main].[JOB ID].[All]" allUniqueName="[Main].[JOB ID].[All]" dimensionUniqueName="[Main]" displayFolder="" count="0" memberValueDatatype="130" unbalanced="0"/>
    <cacheHierarchy uniqueName="[Main].[Attrition]" caption="Attrition" attribute="1" defaultMemberUniqueName="[Main].[Attrition].[All]" allUniqueName="[Main].[Attrition].[All]" dimensionUniqueName="[Main]" displayFolder="" count="0" memberValueDatatype="130" unbalanced="0"/>
    <cacheHierarchy uniqueName="[Measures].[Count of Employee id]" caption="Count of Employee id" measure="1" displayFolder="" measureGroup="Employee" count="0" oneField="1">
      <fieldsUsage count="1">
        <fieldUsage x="1"/>
      </fieldsUsage>
      <extLst>
        <ext xmlns:x15="http://schemas.microsoft.com/office/spreadsheetml/2010/11/main" uri="{B97F6D7D-B522-45F9-BDA1-12C45D357490}">
          <x15:cacheHierarchy aggregatedColumn="3"/>
        </ext>
      </extLst>
    </cacheHierarchy>
    <cacheHierarchy uniqueName="[Measures].[Count of Department]" caption="Count of Department" measure="1" displayFolder="" measureGroup="Department" count="0">
      <extLst>
        <ext xmlns:x15="http://schemas.microsoft.com/office/spreadsheetml/2010/11/main" uri="{B97F6D7D-B522-45F9-BDA1-12C45D357490}">
          <x15:cacheHierarchy aggregatedColumn="0"/>
        </ext>
      </extLst>
    </cacheHierarchy>
    <cacheHierarchy uniqueName="[Measures].[Count of Attrition]" caption="Count of Attrition" measure="1" displayFolder="" measureGroup="Main" count="0">
      <extLst>
        <ext xmlns:x15="http://schemas.microsoft.com/office/spreadsheetml/2010/11/main" uri="{B97F6D7D-B522-45F9-BDA1-12C45D357490}">
          <x15:cacheHierarchy aggregatedColumn="18"/>
        </ext>
      </extLst>
    </cacheHierarchy>
    <cacheHierarchy uniqueName="[Measures].[No of employee]" caption="No of employee" measure="1" displayFolder="" measureGroup="Main" count="0"/>
    <cacheHierarchy uniqueName="[Measures].[Attrition Count]" caption="Attrition Count" measure="1" displayFolder="" measureGroup="Main" count="0"/>
    <cacheHierarchy uniqueName="[Measures].[Attrition Rate]" caption="Attrition Rate" measure="1" displayFolder="" measureGroup="Main" count="0"/>
    <cacheHierarchy uniqueName="[Measures].[AVG. Rating]" caption="AVG. Rating" measure="1" displayFolder="" measureGroup="Main" count="0"/>
    <cacheHierarchy uniqueName="[Measures].[Avg.Salary]" caption="Avg.Salary" measure="1" displayFolder="" measureGroup="Main" count="0"/>
    <cacheHierarchy uniqueName="[Measures].[Avg.Experience]" caption="Avg.Experience" measure="1" displayFolder="" measureGroup="Main" count="0"/>
    <cacheHierarchy uniqueName="[Measures].[__XL_Count Table1]" caption="__XL_Count Table1" measure="1" displayFolder="" measureGroup="Main" count="0" hidden="1"/>
    <cacheHierarchy uniqueName="[Measures].[__XL_Count Table2]" caption="__XL_Count Table2" measure="1" displayFolder="" measureGroup="Employee" count="0" hidden="1"/>
    <cacheHierarchy uniqueName="[Measures].[__XL_Count Table3]" caption="__XL_Count Table3" measure="1" displayFolder="" measureGroup="Department" count="0" hidden="1"/>
    <cacheHierarchy uniqueName="[Measures].[__XL_Count Table4]" caption="__XL_Count Table4" measure="1" displayFolder="" measureGroup="JOB" count="0" hidden="1"/>
    <cacheHierarchy uniqueName="[Measures].[__No measures defined]" caption="__No measures defined" measure="1" displayFolder="" count="0" hidden="1"/>
  </cacheHierarchies>
  <kpis count="0"/>
  <dimensions count="5">
    <dimension name="Department" uniqueName="[Department]" caption="Department"/>
    <dimension name="Employee" uniqueName="[Employee]" caption="Employee"/>
    <dimension name="JOB" uniqueName="[JOB]" caption="JOB"/>
    <dimension name="Main" uniqueName="[Main]" caption="Main"/>
    <dimension measure="1" name="Measures" uniqueName="[Measures]" caption="Measures"/>
  </dimensions>
  <measureGroups count="4">
    <measureGroup name="Department" caption="Department"/>
    <measureGroup name="Employee" caption="Employee"/>
    <measureGroup name="JOB" caption="JOB"/>
    <measureGroup name="Main" caption="Main"/>
  </measureGroups>
  <maps count="9">
    <map measureGroup="0" dimension="0"/>
    <map measureGroup="1" dimension="0"/>
    <map measureGroup="1" dimension="1"/>
    <map measureGroup="1" dimension="2"/>
    <map measureGroup="1" dimension="3"/>
    <map measureGroup="2" dimension="2"/>
    <map measureGroup="3" dimension="0"/>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yash Gupta" refreshedDate="46225.951070254632" backgroundQuery="1" createdVersion="3" refreshedVersion="8" minRefreshableVersion="3" recordCount="0" supportSubquery="1" supportAdvancedDrill="1" xr:uid="{BB04D1EF-1732-484F-B4B1-6952878EE0DF}">
  <cacheSource type="external" connectionId="1">
    <extLst>
      <ext xmlns:x14="http://schemas.microsoft.com/office/spreadsheetml/2009/9/main" uri="{F057638F-6D5F-4e77-A914-E7F072B9BCA8}">
        <x14:sourceConnection name="ThisWorkbookDataModel"/>
      </ext>
    </extLst>
  </cacheSource>
  <cacheFields count="0"/>
  <cacheHierarchies count="33">
    <cacheHierarchy uniqueName="[Department].[Department]" caption="Department" attribute="1" defaultMemberUniqueName="[Department].[Department].[All]" allUniqueName="[Department].[Department].[All]" dimensionUniqueName="[Department]" displayFolder="" count="0" memberValueDatatype="130" unbalanced="0"/>
    <cacheHierarchy uniqueName="[Department].[Department id]" caption="Department id" attribute="1" defaultMemberUniqueName="[Department].[Department id].[All]" allUniqueName="[Department].[Department id].[All]" dimensionUniqueName="[Department]" displayFolder="" count="0" memberValueDatatype="130" unbalanced="0"/>
    <cacheHierarchy uniqueName="[Employee].[Employee name]" caption="Employee name" attribute="1" defaultMemberUniqueName="[Employee].[Employee name].[All]" allUniqueName="[Employee].[Employee name].[All]" dimensionUniqueName="[Employee]" displayFolder="" count="0" memberValueDatatype="130" unbalanced="0"/>
    <cacheHierarchy uniqueName="[Employee].[Employee id]" caption="Employee id" attribute="1" defaultMemberUniqueName="[Employee].[Employee id].[All]" allUniqueName="[Employee].[Employee id].[All]" dimensionUniqueName="[Employee]" displayFolder="" count="0" memberValueDatatype="130" unbalanced="0"/>
    <cacheHierarchy uniqueName="[Employee].[Gender]" caption="Gender" attribute="1" defaultMemberUniqueName="[Employee].[Gender].[All]" allUniqueName="[Employee].[Gender].[All]" dimensionUniqueName="[Employee]" displayFolder="" count="2" memberValueDatatype="130" unbalanced="0"/>
    <cacheHierarchy uniqueName="[Employee].[Education]" caption="Education" attribute="1" defaultMemberUniqueName="[Employee].[Education].[All]" allUniqueName="[Employee].[Education].[All]" dimensionUniqueName="[Employee]" displayFolder="" count="0" memberValueDatatype="130" unbalanced="0"/>
    <cacheHierarchy uniqueName="[Employee].[Salary]" caption="Salary" attribute="1" defaultMemberUniqueName="[Employee].[Salary].[All]" allUniqueName="[Employee].[Salary].[All]" dimensionUniqueName="[Employee]" displayFolder="" count="0" memberValueDatatype="20" unbalanced="0"/>
    <cacheHierarchy uniqueName="[Employee].[Rating]" caption="Rating" attribute="1" defaultMemberUniqueName="[Employee].[Rating].[All]" allUniqueName="[Employee].[Rating].[All]" dimensionUniqueName="[Employee]" displayFolder="" count="0" memberValueDatatype="20" unbalanced="0"/>
    <cacheHierarchy uniqueName="[Employee].[Total Year of Experience]" caption="Total Year of Experience" attribute="1" defaultMemberUniqueName="[Employee].[Total Year of Experience].[All]" allUniqueName="[Employee].[Total Year of Experience].[All]" dimensionUniqueName="[Employee]" displayFolder="" count="0" memberValueDatatype="20" unbalanced="0"/>
    <cacheHierarchy uniqueName="[Employee].[Overtime]" caption="Overtime" attribute="1" defaultMemberUniqueName="[Employee].[Overtime].[All]" allUniqueName="[Employee].[Overtime].[All]" dimensionUniqueName="[Employee]" displayFolder="" count="2" memberValueDatatype="130" unbalanced="0"/>
    <cacheHierarchy uniqueName="[Employee].[Overtime Incentive]" caption="Overtime Incentive" attribute="1" defaultMemberUniqueName="[Employee].[Overtime Incentive].[All]" allUniqueName="[Employee].[Overtime Incentive].[All]" dimensionUniqueName="[Employee]" displayFolder="" count="0" memberValueDatatype="130" unbalanced="0"/>
    <cacheHierarchy uniqueName="[Employee].[Salary ( After overtime )]" caption="Salary ( After overtime )" attribute="1" defaultMemberUniqueName="[Employee].[Salary ( After overtime )].[All]" allUniqueName="[Employee].[Salary ( After overtime )].[All]" dimensionUniqueName="[Employee]" displayFolder="" count="0" memberValueDatatype="20" unbalanced="0"/>
    <cacheHierarchy uniqueName="[Employee].[Marital Status]" caption="Marital Status" attribute="1" defaultMemberUniqueName="[Employee].[Marital Status].[All]" allUniqueName="[Employee].[Marital Status].[All]" dimensionUniqueName="[Employee]" displayFolder="" count="2" memberValueDatatype="130" unbalanced="0"/>
    <cacheHierarchy uniqueName="[JOB].[Job ID]" caption="Job ID" attribute="1" defaultMemberUniqueName="[JOB].[Job ID].[All]" allUniqueName="[JOB].[Job ID].[All]" dimensionUniqueName="[JOB]" displayFolder="" count="0" memberValueDatatype="130" unbalanced="0"/>
    <cacheHierarchy uniqueName="[JOB].[Job]" caption="Job" attribute="1" defaultMemberUniqueName="[JOB].[Job].[All]" allUniqueName="[JOB].[Job].[All]" dimensionUniqueName="[JOB]" displayFolder="" count="0" memberValueDatatype="130" unbalanced="0"/>
    <cacheHierarchy uniqueName="[Main].[Employee ID]" caption="Employee ID" attribute="1" defaultMemberUniqueName="[Main].[Employee ID].[All]" allUniqueName="[Main].[Employee ID].[All]" dimensionUniqueName="[Main]" displayFolder="" count="0" memberValueDatatype="130" unbalanced="0"/>
    <cacheHierarchy uniqueName="[Main].[Department ID]" caption="Department ID" attribute="1" defaultMemberUniqueName="[Main].[Department ID].[All]" allUniqueName="[Main].[Department ID].[All]" dimensionUniqueName="[Main]" displayFolder="" count="0" memberValueDatatype="130" unbalanced="0"/>
    <cacheHierarchy uniqueName="[Main].[JOB ID]" caption="JOB ID" attribute="1" defaultMemberUniqueName="[Main].[JOB ID].[All]" allUniqueName="[Main].[JOB ID].[All]" dimensionUniqueName="[Main]" displayFolder="" count="0" memberValueDatatype="130" unbalanced="0"/>
    <cacheHierarchy uniqueName="[Main].[Attrition]" caption="Attrition" attribute="1" defaultMemberUniqueName="[Main].[Attrition].[All]" allUniqueName="[Main].[Attrition].[All]" dimensionUniqueName="[Main]" displayFolder="" count="0" memberValueDatatype="130" unbalanced="0"/>
    <cacheHierarchy uniqueName="[Measures].[Count of Employee id]" caption="Count of Employee id" measure="1" displayFolder="" measureGroup="Employee" count="0">
      <extLst>
        <ext xmlns:x15="http://schemas.microsoft.com/office/spreadsheetml/2010/11/main" uri="{B97F6D7D-B522-45F9-BDA1-12C45D357490}">
          <x15:cacheHierarchy aggregatedColumn="3"/>
        </ext>
      </extLst>
    </cacheHierarchy>
    <cacheHierarchy uniqueName="[Measures].[Count of Department]" caption="Count of Department" measure="1" displayFolder="" measureGroup="Department" count="0">
      <extLst>
        <ext xmlns:x15="http://schemas.microsoft.com/office/spreadsheetml/2010/11/main" uri="{B97F6D7D-B522-45F9-BDA1-12C45D357490}">
          <x15:cacheHierarchy aggregatedColumn="0"/>
        </ext>
      </extLst>
    </cacheHierarchy>
    <cacheHierarchy uniqueName="[Measures].[Count of Attrition]" caption="Count of Attrition" measure="1" displayFolder="" measureGroup="Main" count="0">
      <extLst>
        <ext xmlns:x15="http://schemas.microsoft.com/office/spreadsheetml/2010/11/main" uri="{B97F6D7D-B522-45F9-BDA1-12C45D357490}">
          <x15:cacheHierarchy aggregatedColumn="18"/>
        </ext>
      </extLst>
    </cacheHierarchy>
    <cacheHierarchy uniqueName="[Measures].[No of employee]" caption="No of employee" measure="1" displayFolder="" measureGroup="Main" count="0"/>
    <cacheHierarchy uniqueName="[Measures].[Attrition Count]" caption="Attrition Count" measure="1" displayFolder="" measureGroup="Main" count="0"/>
    <cacheHierarchy uniqueName="[Measures].[Attrition Rate]" caption="Attrition Rate" measure="1" displayFolder="" measureGroup="Main" count="0"/>
    <cacheHierarchy uniqueName="[Measures].[AVG. Rating]" caption="AVG. Rating" measure="1" displayFolder="" measureGroup="Main" count="0"/>
    <cacheHierarchy uniqueName="[Measures].[Avg.Salary]" caption="Avg.Salary" measure="1" displayFolder="" measureGroup="Main" count="0"/>
    <cacheHierarchy uniqueName="[Measures].[Avg.Experience]" caption="Avg.Experience" measure="1" displayFolder="" measureGroup="Main" count="0"/>
    <cacheHierarchy uniqueName="[Measures].[__XL_Count Table1]" caption="__XL_Count Table1" measure="1" displayFolder="" measureGroup="Main" count="0" hidden="1"/>
    <cacheHierarchy uniqueName="[Measures].[__XL_Count Table2]" caption="__XL_Count Table2" measure="1" displayFolder="" measureGroup="Employee" count="0" hidden="1"/>
    <cacheHierarchy uniqueName="[Measures].[__XL_Count Table3]" caption="__XL_Count Table3" measure="1" displayFolder="" measureGroup="Department" count="0" hidden="1"/>
    <cacheHierarchy uniqueName="[Measures].[__XL_Count Table4]" caption="__XL_Count Table4" measure="1" displayFolder="" measureGroup="JOB"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93381143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EA71597-AFE5-4C6C-BD54-D3D29C206E52}" name="PivotTable5" cacheId="146" applyNumberFormats="0" applyBorderFormats="0" applyFontFormats="0" applyPatternFormats="0" applyAlignmentFormats="0" applyWidthHeightFormats="1" dataCaption="Values" tag="e34a5097-78f9-4942-b41c-04fd31d891fa" updatedVersion="8" minRefreshableVersion="3" useAutoFormatting="1" itemPrintTitles="1" createdVersion="8" indent="0" outline="1" outlineData="1" multipleFieldFilters="0" chartFormat="8">
  <location ref="D7:E10" firstHeaderRow="1" firstDataRow="1" firstDataCol="1"/>
  <pivotFields count="2">
    <pivotField dataField="1" subtotalTop="0" showAll="0" defaultSubtotal="0"/>
    <pivotField axis="axisRow" allDrilled="1" subtotalTop="0" showAll="0" sortType="ascending" defaultSubtotal="0" defaultAttributeDrillState="1">
      <items count="2">
        <item x="0"/>
        <item x="1"/>
      </items>
      <autoSortScope>
        <pivotArea dataOnly="0" outline="0" fieldPosition="0">
          <references count="1">
            <reference field="4294967294" count="1" selected="0">
              <x v="0"/>
            </reference>
          </references>
        </pivotArea>
      </autoSortScope>
    </pivotField>
  </pivotFields>
  <rowFields count="1">
    <field x="1"/>
  </rowFields>
  <rowItems count="3">
    <i>
      <x v="1"/>
    </i>
    <i>
      <x/>
    </i>
    <i t="grand">
      <x/>
    </i>
  </rowItems>
  <colItems count="1">
    <i/>
  </colItems>
  <dataFields count="1">
    <dataField name="Count of Attrition" fld="0" subtotal="count" showDataAs="percentOfTotal" baseField="0" baseItem="0" numFmtId="10"/>
  </dataFields>
  <formats count="3">
    <format dxfId="18">
      <pivotArea collapsedLevelsAreSubtotals="1" fieldPosition="0">
        <references count="1">
          <reference field="1" count="1">
            <x v="1"/>
          </reference>
        </references>
      </pivotArea>
    </format>
    <format dxfId="17">
      <pivotArea collapsedLevelsAreSubtotals="1" fieldPosition="0">
        <references count="1">
          <reference field="1" count="1">
            <x v="0"/>
          </reference>
        </references>
      </pivotArea>
    </format>
    <format dxfId="16">
      <pivotArea grandRow="1"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1" count="1" selected="0">
            <x v="1"/>
          </reference>
        </references>
      </pivotArea>
    </chartFormat>
    <chartFormat chart="2" format="6">
      <pivotArea type="data" outline="0" fieldPosition="0">
        <references count="2">
          <reference field="4294967294" count="1" selected="0">
            <x v="0"/>
          </reference>
          <reference field="1" count="1" selected="0">
            <x v="0"/>
          </reference>
        </references>
      </pivotArea>
    </chartFormat>
  </chartFormat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
        <x15:activeTabTopLevelEntity name="[Main]"/>
        <x15:activeTabTopLevelEntity name="[Departme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B857E62-D7F1-4718-AA00-F4044C9F4260}" name="PivotTable11" cacheId="134" applyNumberFormats="0" applyBorderFormats="0" applyFontFormats="0" applyPatternFormats="0" applyAlignmentFormats="0" applyWidthHeightFormats="1" dataCaption="Values" tag="6d950d49-f2d4-432b-bada-e5739143b5da" updatedVersion="8" minRefreshableVersion="3" useAutoFormatting="1" itemPrintTitles="1" createdVersion="8" indent="0" outline="1" outlineData="1" multipleFieldFilters="0">
  <location ref="D19:D20" firstHeaderRow="1" firstDataRow="1" firstDataCol="0"/>
  <pivotFields count="1">
    <pivotField dataField="1" subtotalTop="0" showAll="0" defaultSubtotal="0"/>
  </pivotFields>
  <rowItems count="1">
    <i/>
  </rowItems>
  <colItems count="1">
    <i/>
  </colItems>
  <dataFields count="1">
    <dataField fld="0" subtotal="count" baseField="0" baseItem="0" numFmtId="1"/>
  </dataFields>
  <formats count="1">
    <format dxfId="19">
      <pivotArea outline="0" collapsedLevelsAreSubtotals="1" fieldPosition="0"/>
    </format>
  </format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i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1C00F5F-49A6-4264-9C8B-BE07EC46FA26}" name="PivotTable7" cacheId="125" applyNumberFormats="0" applyBorderFormats="0" applyFontFormats="0" applyPatternFormats="0" applyAlignmentFormats="0" applyWidthHeightFormats="1" dataCaption="Values" tag="8f21b90b-90ba-42a8-8690-1025b3d6fd51" updatedVersion="8" minRefreshableVersion="3" useAutoFormatting="1" itemPrintTitles="1" createdVersion="8" indent="0" outline="1" outlineData="1" multipleFieldFilters="0">
  <location ref="D13:D14"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i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1953734-505C-4B47-99BC-502C4C583038}" name="PivotTable9" cacheId="143" applyNumberFormats="0" applyBorderFormats="0" applyFontFormats="0" applyPatternFormats="0" applyAlignmentFormats="0" applyWidthHeightFormats="1" dataCaption="Values" tag="477e5d63-2358-4642-8c01-65df1c3c86d7" updatedVersion="8" minRefreshableVersion="3" itemPrintTitles="1" createdVersion="8" indent="0" outline="1" outlineData="1" multipleFieldFilters="0">
  <location ref="D16:E17" firstHeaderRow="0" firstDataRow="1" firstDataCol="0"/>
  <pivotFields count="2">
    <pivotField dataField="1" subtotalTop="0" showAll="0" defaultSubtotal="0"/>
    <pivotField dataField="1" subtotalTop="0" showAll="0" defaultSubtotal="0"/>
  </pivotFields>
  <rowItems count="1">
    <i/>
  </rowItems>
  <colFields count="1">
    <field x="-2"/>
  </colFields>
  <colItems count="2">
    <i>
      <x/>
    </i>
    <i i="1">
      <x v="1"/>
    </i>
  </colItems>
  <dataFields count="2">
    <dataField name="Count of Employee id" fld="0" subtotal="count" baseField="0" baseItem="0"/>
    <dataField fld="1" subtotal="count" baseField="0" baseItem="1"/>
  </dataField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in]"/>
        <x15:activeTabTopLevelEntity name="[Employe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49B1D4A-BE80-4E7C-B9A3-CD9D0E7D3A2F}" name="PivotTable3" cacheId="140" applyNumberFormats="0" applyBorderFormats="0" applyFontFormats="0" applyPatternFormats="0" applyAlignmentFormats="0" applyWidthHeightFormats="1" dataCaption="Values" tag="0421c6c7-e13b-4352-be2e-354c0053e5ca" updatedVersion="8" minRefreshableVersion="3" itemPrintTitles="1" createdVersion="8" indent="0" outline="1" outlineData="1" multipleFieldFilters="0" chartFormat="5">
  <location ref="A16:B23" firstHeaderRow="1" firstDataRow="1" firstDataCol="1"/>
  <pivotFields count="2">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7">
    <i>
      <x v="4"/>
    </i>
    <i>
      <x v="5"/>
    </i>
    <i>
      <x v="3"/>
    </i>
    <i>
      <x/>
    </i>
    <i>
      <x v="2"/>
    </i>
    <i>
      <x v="1"/>
    </i>
    <i t="grand">
      <x/>
    </i>
  </rowItems>
  <colItems count="1">
    <i/>
  </colItems>
  <dataFields count="1">
    <dataField name="Count of Employee id" fld="1" subtotal="count" baseField="0" baseItem="0"/>
  </dataFields>
  <chartFormats count="5">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2">
          <reference field="4294967294" count="1" selected="0">
            <x v="0"/>
          </reference>
          <reference field="0" count="1" selected="0">
            <x v="1"/>
          </reference>
        </references>
      </pivotArea>
    </chartFormat>
    <chartFormat chart="2" format="4" series="1">
      <pivotArea type="data" outline="0" fieldPosition="0">
        <references count="2">
          <reference field="4294967294" count="1" selected="0">
            <x v="0"/>
          </reference>
          <reference field="0" count="1" selected="0">
            <x v="2"/>
          </reference>
        </references>
      </pivotArea>
    </chartFormat>
    <chartFormat chart="2" format="5" series="1">
      <pivotArea type="data" outline="0" fieldPosition="0">
        <references count="2">
          <reference field="4294967294" count="1" selected="0">
            <x v="0"/>
          </reference>
          <reference field="0" count="1" selected="0">
            <x v="3"/>
          </reference>
        </references>
      </pivotArea>
    </chartFormat>
    <chartFormat chart="2" format="6" series="1">
      <pivotArea type="data" outline="0" fieldPosition="0">
        <references count="2">
          <reference field="4294967294" count="1" selected="0">
            <x v="0"/>
          </reference>
          <reference field="0" count="1" selected="0">
            <x v="4"/>
          </reference>
        </references>
      </pivotArea>
    </chartFormat>
  </chartFormat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
        <x15:activeTabTopLevelEntity name="[Main]"/>
        <x15:activeTabTopLevelEntity name="[Departme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640B9AD-6525-4128-8940-AA2C99F3962E}" name="PivotTable1" cacheId="128" applyNumberFormats="0" applyBorderFormats="0" applyFontFormats="0" applyPatternFormats="0" applyAlignmentFormats="0" applyWidthHeightFormats="1" dataCaption="Values" tag="c9d0a41b-c0d4-466d-a85e-9d508e19c699" updatedVersion="8" minRefreshableVersion="3" useAutoFormatting="1" itemPrintTitles="1" createdVersion="8" indent="0" outline="1" outlineData="1" multipleFieldFilters="0" chartFormat="8">
  <location ref="A1:B4"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Count of Employee id" fld="1" subtotal="count" baseField="0" baseItem="0"/>
  </dataFields>
  <chartFormats count="3">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0"/>
          </reference>
        </references>
      </pivotArea>
    </chartFormat>
    <chartFormat chart="2" format="6">
      <pivotArea type="data" outline="0" fieldPosition="0">
        <references count="2">
          <reference field="4294967294" count="1" selected="0">
            <x v="0"/>
          </reference>
          <reference field="0" count="1" selected="0">
            <x v="1"/>
          </reference>
        </references>
      </pivotArea>
    </chartFormat>
  </chartFormat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D96C54C-F7F8-41F3-B432-EF17F4B12FB1}" name="PivotTable8" cacheId="122" applyNumberFormats="0" applyBorderFormats="0" applyFontFormats="0" applyPatternFormats="0" applyAlignmentFormats="0" applyWidthHeightFormats="1" dataCaption="Values" tag="c0cc0a0e-6e20-4ff4-bb50-5c1929dfbcb2" updatedVersion="8" minRefreshableVersion="3" useAutoFormatting="1" itemPrintTitles="1" createdVersion="8" indent="0" outline="1" outlineData="1" multipleFieldFilters="0">
  <location ref="E13:E14"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i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0C07712-E0D4-4CFA-90E1-F881D4DD24F0}" name="PivotTable10" cacheId="119" applyNumberFormats="0" applyBorderFormats="0" applyFontFormats="0" applyPatternFormats="0" applyAlignmentFormats="0" applyWidthHeightFormats="1" dataCaption="Values" tag="002c7d15-127d-4e6a-aa7b-72a892bf439b" updatedVersion="8" minRefreshableVersion="3" useAutoFormatting="1" itemPrintTitles="1" createdVersion="8" indent="0" outline="1" outlineData="1" multipleFieldFilters="0">
  <location ref="G18:G19"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i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90A8210-602F-461D-A9AC-4D405DC4858F}" name="PivotTable6" cacheId="150" applyNumberFormats="0" applyBorderFormats="0" applyFontFormats="0" applyPatternFormats="0" applyAlignmentFormats="0" applyWidthHeightFormats="1" dataCaption="Values" tag="8c138d24-8771-47d9-bcbf-02cecd986223" updatedVersion="8" minRefreshableVersion="3" useAutoFormatting="1" subtotalHiddenItems="1" itemPrintTitles="1" createdVersion="8" indent="0" outline="1" outlineData="1" multipleFieldFilters="0" chartFormat="8">
  <location ref="G2:H15" firstHeaderRow="1" firstDataRow="1" firstDataCol="1"/>
  <pivotFields count="5">
    <pivotField axis="axisRow" allDrilled="1" subtotalTop="0" showAll="0" sortType="descending" defaultSubtotal="0" defaultAttributeDrillState="1">
      <items count="12">
        <item x="0"/>
        <item x="1"/>
        <item x="2"/>
        <item x="3"/>
        <item x="4"/>
        <item x="5"/>
        <item x="6"/>
        <item x="7"/>
        <item x="8"/>
        <item x="9"/>
        <item x="10"/>
        <item x="11"/>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3">
    <i>
      <x v="6"/>
    </i>
    <i>
      <x v="9"/>
    </i>
    <i>
      <x v="10"/>
    </i>
    <i>
      <x/>
    </i>
    <i>
      <x v="5"/>
    </i>
    <i>
      <x v="3"/>
    </i>
    <i>
      <x v="11"/>
    </i>
    <i>
      <x v="2"/>
    </i>
    <i>
      <x v="7"/>
    </i>
    <i>
      <x v="4"/>
    </i>
    <i>
      <x v="1"/>
    </i>
    <i>
      <x v="8"/>
    </i>
    <i t="grand">
      <x/>
    </i>
  </rowItems>
  <colItems count="1">
    <i/>
  </colItems>
  <dataFields count="1">
    <dataField name="Count of Employee id" fld="1" subtotal="count" baseField="0" baseItem="0"/>
  </dataFields>
  <chartFormats count="24">
    <chartFormat chart="2" format="14" series="1">
      <pivotArea type="data" outline="0" fieldPosition="0">
        <references count="1">
          <reference field="4294967294" count="1" selected="0">
            <x v="0"/>
          </reference>
        </references>
      </pivotArea>
    </chartFormat>
    <chartFormat chart="2" format="15">
      <pivotArea type="data" outline="0" fieldPosition="0">
        <references count="2">
          <reference field="4294967294" count="1" selected="0">
            <x v="0"/>
          </reference>
          <reference field="0" count="1" selected="0">
            <x v="0"/>
          </reference>
        </references>
      </pivotArea>
    </chartFormat>
    <chartFormat chart="2" format="16">
      <pivotArea type="data" outline="0" fieldPosition="0">
        <references count="2">
          <reference field="4294967294" count="1" selected="0">
            <x v="0"/>
          </reference>
          <reference field="0" count="1" selected="0">
            <x v="1"/>
          </reference>
        </references>
      </pivotArea>
    </chartFormat>
    <chartFormat chart="2" format="17">
      <pivotArea type="data" outline="0" fieldPosition="0">
        <references count="2">
          <reference field="4294967294" count="1" selected="0">
            <x v="0"/>
          </reference>
          <reference field="0" count="1" selected="0">
            <x v="2"/>
          </reference>
        </references>
      </pivotArea>
    </chartFormat>
    <chartFormat chart="2" format="18">
      <pivotArea type="data" outline="0" fieldPosition="0">
        <references count="2">
          <reference field="4294967294" count="1" selected="0">
            <x v="0"/>
          </reference>
          <reference field="0" count="1" selected="0">
            <x v="3"/>
          </reference>
        </references>
      </pivotArea>
    </chartFormat>
    <chartFormat chart="2" format="19">
      <pivotArea type="data" outline="0" fieldPosition="0">
        <references count="2">
          <reference field="4294967294" count="1" selected="0">
            <x v="0"/>
          </reference>
          <reference field="0" count="1" selected="0">
            <x v="4"/>
          </reference>
        </references>
      </pivotArea>
    </chartFormat>
    <chartFormat chart="2" format="20">
      <pivotArea type="data" outline="0" fieldPosition="0">
        <references count="2">
          <reference field="4294967294" count="1" selected="0">
            <x v="0"/>
          </reference>
          <reference field="0" count="1" selected="0">
            <x v="5"/>
          </reference>
        </references>
      </pivotArea>
    </chartFormat>
    <chartFormat chart="2" format="21">
      <pivotArea type="data" outline="0" fieldPosition="0">
        <references count="2">
          <reference field="4294967294" count="1" selected="0">
            <x v="0"/>
          </reference>
          <reference field="0" count="1" selected="0">
            <x v="6"/>
          </reference>
        </references>
      </pivotArea>
    </chartFormat>
    <chartFormat chart="2" format="22">
      <pivotArea type="data" outline="0" fieldPosition="0">
        <references count="2">
          <reference field="4294967294" count="1" selected="0">
            <x v="0"/>
          </reference>
          <reference field="0" count="1" selected="0">
            <x v="7"/>
          </reference>
        </references>
      </pivotArea>
    </chartFormat>
    <chartFormat chart="2" format="23">
      <pivotArea type="data" outline="0" fieldPosition="0">
        <references count="2">
          <reference field="4294967294" count="1" selected="0">
            <x v="0"/>
          </reference>
          <reference field="0" count="1" selected="0">
            <x v="8"/>
          </reference>
        </references>
      </pivotArea>
    </chartFormat>
    <chartFormat chart="2" format="24">
      <pivotArea type="data" outline="0" fieldPosition="0">
        <references count="2">
          <reference field="4294967294" count="1" selected="0">
            <x v="0"/>
          </reference>
          <reference field="0" count="1" selected="0">
            <x v="9"/>
          </reference>
        </references>
      </pivotArea>
    </chartFormat>
    <chartFormat chart="2" format="25">
      <pivotArea type="data" outline="0" fieldPosition="0">
        <references count="2">
          <reference field="4294967294" count="1" selected="0">
            <x v="0"/>
          </reference>
          <reference field="0" count="1" selected="0">
            <x v="10"/>
          </reference>
        </references>
      </pivotArea>
    </chartFormat>
    <chartFormat chart="2" format="26">
      <pivotArea type="data" outline="0" fieldPosition="0">
        <references count="2">
          <reference field="4294967294" count="1" selected="0">
            <x v="0"/>
          </reference>
          <reference field="0" count="1" selected="0">
            <x v="11"/>
          </reference>
        </references>
      </pivotArea>
    </chartFormat>
    <chartFormat chart="2" format="27" series="1">
      <pivotArea type="data" outline="0" fieldPosition="0">
        <references count="2">
          <reference field="4294967294" count="1" selected="0">
            <x v="0"/>
          </reference>
          <reference field="0" count="1" selected="0">
            <x v="1"/>
          </reference>
        </references>
      </pivotArea>
    </chartFormat>
    <chartFormat chart="2" format="28" series="1">
      <pivotArea type="data" outline="0" fieldPosition="0">
        <references count="2">
          <reference field="4294967294" count="1" selected="0">
            <x v="0"/>
          </reference>
          <reference field="0" count="1" selected="0">
            <x v="2"/>
          </reference>
        </references>
      </pivotArea>
    </chartFormat>
    <chartFormat chart="2" format="29" series="1">
      <pivotArea type="data" outline="0" fieldPosition="0">
        <references count="2">
          <reference field="4294967294" count="1" selected="0">
            <x v="0"/>
          </reference>
          <reference field="0" count="1" selected="0">
            <x v="3"/>
          </reference>
        </references>
      </pivotArea>
    </chartFormat>
    <chartFormat chart="2" format="30" series="1">
      <pivotArea type="data" outline="0" fieldPosition="0">
        <references count="2">
          <reference field="4294967294" count="1" selected="0">
            <x v="0"/>
          </reference>
          <reference field="0" count="1" selected="0">
            <x v="4"/>
          </reference>
        </references>
      </pivotArea>
    </chartFormat>
    <chartFormat chart="2" format="31" series="1">
      <pivotArea type="data" outline="0" fieldPosition="0">
        <references count="2">
          <reference field="4294967294" count="1" selected="0">
            <x v="0"/>
          </reference>
          <reference field="0" count="1" selected="0">
            <x v="5"/>
          </reference>
        </references>
      </pivotArea>
    </chartFormat>
    <chartFormat chart="2" format="32" series="1">
      <pivotArea type="data" outline="0" fieldPosition="0">
        <references count="2">
          <reference field="4294967294" count="1" selected="0">
            <x v="0"/>
          </reference>
          <reference field="0" count="1" selected="0">
            <x v="6"/>
          </reference>
        </references>
      </pivotArea>
    </chartFormat>
    <chartFormat chart="2" format="33" series="1">
      <pivotArea type="data" outline="0" fieldPosition="0">
        <references count="2">
          <reference field="4294967294" count="1" selected="0">
            <x v="0"/>
          </reference>
          <reference field="0" count="1" selected="0">
            <x v="7"/>
          </reference>
        </references>
      </pivotArea>
    </chartFormat>
    <chartFormat chart="2" format="34" series="1">
      <pivotArea type="data" outline="0" fieldPosition="0">
        <references count="2">
          <reference field="4294967294" count="1" selected="0">
            <x v="0"/>
          </reference>
          <reference field="0" count="1" selected="0">
            <x v="8"/>
          </reference>
        </references>
      </pivotArea>
    </chartFormat>
    <chartFormat chart="2" format="35" series="1">
      <pivotArea type="data" outline="0" fieldPosition="0">
        <references count="2">
          <reference field="4294967294" count="1" selected="0">
            <x v="0"/>
          </reference>
          <reference field="0" count="1" selected="0">
            <x v="9"/>
          </reference>
        </references>
      </pivotArea>
    </chartFormat>
    <chartFormat chart="2" format="36" series="1">
      <pivotArea type="data" outline="0" fieldPosition="0">
        <references count="2">
          <reference field="4294967294" count="1" selected="0">
            <x v="0"/>
          </reference>
          <reference field="0" count="1" selected="0">
            <x v="10"/>
          </reference>
        </references>
      </pivotArea>
    </chartFormat>
    <chartFormat chart="2" format="37" series="1">
      <pivotArea type="data" outline="0" fieldPosition="0">
        <references count="2">
          <reference field="4294967294" count="1" selected="0">
            <x v="0"/>
          </reference>
          <reference field="0" count="1" selected="0">
            <x v="11"/>
          </reference>
        </references>
      </pivotArea>
    </chartFormat>
  </chartFormats>
  <pivotHierarchies count="33">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
        <x15:activeTabTopLevelEntity name="[Main]"/>
        <x15:activeTabTopLevelEntity name="[Department]"/>
        <x15:activeTabTopLevelEntity name="[JOB]"/>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B64E734-9834-4288-949D-0A42C4659386}" name="PivotTable2" cacheId="137" applyNumberFormats="0" applyBorderFormats="0" applyFontFormats="0" applyPatternFormats="0" applyAlignmentFormats="0" applyWidthHeightFormats="1" dataCaption="Values" tag="80f5cc8e-8e36-49f5-ba07-8ef2b3016be7" updatedVersion="8" minRefreshableVersion="3" useAutoFormatting="1" itemPrintTitles="1" createdVersion="8" indent="0" outline="1" outlineData="1" multipleFieldFilters="0" chartFormat="5">
  <location ref="A6:B13" firstHeaderRow="1" firstDataRow="1" firstDataCol="1"/>
  <pivotFields count="2">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7">
    <i>
      <x v="3"/>
    </i>
    <i>
      <x v="4"/>
    </i>
    <i>
      <x v="5"/>
    </i>
    <i>
      <x v="1"/>
    </i>
    <i>
      <x/>
    </i>
    <i>
      <x v="2"/>
    </i>
    <i t="grand">
      <x/>
    </i>
  </rowItems>
  <colItems count="1">
    <i/>
  </colItems>
  <dataFields count="1">
    <dataField fld="1" subtotal="count" baseField="0" baseItem="0"/>
  </dataFields>
  <chartFormats count="1">
    <chartFormat chart="2" format="2" series="1">
      <pivotArea type="data" outline="0" fieldPosition="0">
        <references count="1">
          <reference field="4294967294" count="1" selected="0">
            <x v="0"/>
          </reference>
        </references>
      </pivotArea>
    </chartFormat>
  </chartFormat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
        <x15:activeTabTopLevelEntity name="[Main]"/>
        <x15:activeTabTopLevelEntity name="[Departme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12EB176-C278-468A-A1CC-61D43AD44D1D}" name="PivotTable4" cacheId="131" applyNumberFormats="0" applyBorderFormats="0" applyFontFormats="0" applyPatternFormats="0" applyAlignmentFormats="0" applyWidthHeightFormats="1" dataCaption="Values" tag="a0a2672b-2f0f-4b28-996d-69b3ae92811b" updatedVersion="8" minRefreshableVersion="3" useAutoFormatting="1" itemPrintTitles="1" createdVersion="8" indent="0" outline="1" outlineData="1" multipleFieldFilters="0" chartFormat="4">
  <location ref="D1:E4"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Count of Employee id" fld="1" subtotal="count" baseField="0" baseItem="0"/>
  </dataFields>
  <chartFormats count="3">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0"/>
          </reference>
        </references>
      </pivotArea>
    </chartFormat>
    <chartFormat chart="2" format="6">
      <pivotArea type="data" outline="0" fieldPosition="0">
        <references count="2">
          <reference field="4294967294" count="1" selected="0">
            <x v="0"/>
          </reference>
          <reference field="0" count="1" selected="0">
            <x v="1"/>
          </reference>
        </references>
      </pivotArea>
    </chartFormat>
  </chartFormat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
        <x15:activeTabTopLevelEntity name="[Main]"/>
        <x15:activeTabTopLevelEntity name="[Department]"/>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581D6A88-54FF-49BB-B1BC-CB617949BBC1}" sourceName="[Employee].[Gender]">
  <pivotTables>
    <pivotTable tabId="6" name="PivotTable6"/>
  </pivotTables>
  <data>
    <olap pivotCacheId="1933811435">
      <levels count="2">
        <level uniqueName="[Employee].[Gender].[(All)]" sourceCaption="(All)" count="0"/>
        <level uniqueName="[Employee].[Gender].[Gender]" sourceCaption="Gender" count="2">
          <ranges>
            <range startItem="0">
              <i n="[Employee].[Gender].&amp;[Female]" c="Female"/>
              <i n="[Employee].[Gender].&amp;[Male]" c="Male"/>
            </range>
          </ranges>
        </level>
      </levels>
      <selections count="1">
        <selection n="[Employee].[Gende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294E4B62-0B7D-4535-BC3A-7AB41447061B}" sourceName="[Employee].[Marital Status]">
  <pivotTables>
    <pivotTable tabId="6" name="PivotTable6"/>
  </pivotTables>
  <data>
    <olap pivotCacheId="1933811435">
      <levels count="2">
        <level uniqueName="[Employee].[Marital Status].[(All)]" sourceCaption="(All)" count="0"/>
        <level uniqueName="[Employee].[Marital Status].[Marital Status]" sourceCaption="Marital Status" count="2">
          <ranges>
            <range startItem="0">
              <i n="[Employee].[Marital Status].&amp;[Married]" c="Married"/>
              <i n="[Employee].[Marital Status].&amp;[Unmarried]" c="Unmarried"/>
            </range>
          </ranges>
        </level>
      </levels>
      <selections count="1">
        <selection n="[Employee].[Marital Status].[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vertime" xr10:uid="{55E23BB2-2511-4E5E-8FB0-8727DF1536CC}" sourceName="[Employee].[Overtime]">
  <pivotTables>
    <pivotTable tabId="6" name="PivotTable6"/>
  </pivotTables>
  <data>
    <olap pivotCacheId="1933811435">
      <levels count="2">
        <level uniqueName="[Employee].[Overtime].[(All)]" sourceCaption="(All)" count="0"/>
        <level uniqueName="[Employee].[Overtime].[Overtime]" sourceCaption="Overtime" count="4">
          <ranges>
            <range startItem="0">
              <i n="[Employee].[Overtime].&amp;[-]" c="-"/>
              <i n="[Employee].[Overtime].&amp;[1]" c="1"/>
              <i n="[Employee].[Overtime].&amp;[2]" c="2"/>
              <i n="[Employee].[Overtime].&amp;[3]" c="3"/>
            </range>
          </ranges>
        </level>
      </levels>
      <selections count="1">
        <selection n="[Employee].[Overti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9FD8B800-A82C-43CA-92C4-94A986E8BCFB}" cache="Slicer_Gender" caption="Gender" level="1" style="SlicerStyleLight6" rowHeight="234950"/>
  <slicer name="Marital Status" xr10:uid="{5834F44E-A0A2-40CD-8356-AA1491974D40}" cache="Slicer_Marital_Status" caption="Marital Status" level="1" style="SlicerStyleLight6" rowHeight="234950"/>
  <slicer name="Overtime" xr10:uid="{A47886C4-F067-4844-B2B2-AB0550E68EF2}" cache="Slicer_Overtime" caption="Overtime" level="1" style="SlicerStyleLight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D22A7B7-DB50-43C7-800D-CBD54137371D}" name="Table1" displayName="Table1" ref="A1:D51" totalsRowShown="0">
  <autoFilter ref="A1:D51" xr:uid="{6D22A7B7-DB50-43C7-800D-CBD54137371D}"/>
  <tableColumns count="4">
    <tableColumn id="1" xr3:uid="{997AB254-3354-422E-9ABA-71AD6C46897F}" name="Employee ID"/>
    <tableColumn id="2" xr3:uid="{477DFD46-671F-4D7A-844D-2FBDFAE2BC82}" name="Department ID"/>
    <tableColumn id="3" xr3:uid="{F57E6AD9-6C83-42CE-AA25-6B79F559E1FF}" name="JOB ID"/>
    <tableColumn id="5" xr3:uid="{D588AF97-F7AE-4E09-905D-DFC27619A908}" name="Attritio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8D38107-E04C-4C77-8A6F-F92A1B83186C}" name="Table2" displayName="Table2" ref="A1:K51" totalsRowShown="0">
  <autoFilter ref="A1:K51" xr:uid="{38D38107-E04C-4C77-8A6F-F92A1B83186C}"/>
  <tableColumns count="11">
    <tableColumn id="1" xr3:uid="{6A713FB2-AA2E-4364-A228-803419CB7552}" name="Employee name"/>
    <tableColumn id="2" xr3:uid="{7E07D511-8481-4477-B599-F696A62CD229}" name="Employee id"/>
    <tableColumn id="3" xr3:uid="{3AD6910D-93C1-4205-B607-D26A3745966A}" name="Gender"/>
    <tableColumn id="4" xr3:uid="{C2DDE734-BE87-43BC-8D31-9EF43B670BA3}" name="Education"/>
    <tableColumn id="5" xr3:uid="{C8A00F9A-5E1F-4AD9-88F8-1350CBF1FD12}" name="Salary" dataDxfId="27"/>
    <tableColumn id="6" xr3:uid="{0A7D1DC0-6C0A-4A9B-A5CC-CFDE94BE2187}" name="Rating">
      <calculatedColumnFormula array="1">_xlfn.SWITCH(TRUE(),
E2&gt;=160000,5,
E2&gt;=110000,4,
E2&gt;=90000,3,
E2&gt;=60000,2,
1
)</calculatedColumnFormula>
    </tableColumn>
    <tableColumn id="7" xr3:uid="{6529384F-2B02-49EB-8895-80AACAD3EA4D}" name="Total Year of Experience"/>
    <tableColumn id="8" xr3:uid="{0C0AFA91-F7C1-4FDB-AA0A-4838A70F8F05}" name="Overtime" dataDxfId="26"/>
    <tableColumn id="9" xr3:uid="{1B3C862D-6648-4984-9A9F-A0E75A06B574}" name="Overtime Incentive" dataDxfId="25">
      <calculatedColumnFormula array="1">_xlfn.SWITCH(TRUE(),
H2=2,20,
H2=1,10,
H2=3,30,
"-"
)</calculatedColumnFormula>
    </tableColumn>
    <tableColumn id="10" xr3:uid="{21A4BF4B-E5D2-43F2-874E-B0083DD722FE}" name="Salary ( After overtime )" dataDxfId="24">
      <calculatedColumnFormula>IF(ISNUMBER(E2+E2*I2%),E2+E2*I2%,E2)</calculatedColumnFormula>
    </tableColumn>
    <tableColumn id="11" xr3:uid="{A0C5597B-C602-4EC2-A015-2AEC894B715B}" name="Marital Status" dataDxfId="23"/>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3CB9BC1-724C-4D1D-97AB-5FF31A7E41A8}" name="Table3" displayName="Table3" ref="A1:B7" totalsRowShown="0">
  <autoFilter ref="A1:B7" xr:uid="{03CB9BC1-724C-4D1D-97AB-5FF31A7E41A8}"/>
  <tableColumns count="2">
    <tableColumn id="1" xr3:uid="{189F5C57-277F-4DEB-A619-2191ACEB2FC6}" name="Department"/>
    <tableColumn id="2" xr3:uid="{7B8FB9BB-F067-48FD-B4B0-0B2135FCA938}" name="Department id"/>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3DCFA8E-97AC-42DD-8543-3ACB989BC8FB}" name="Table4" displayName="Table4" ref="A1:B13" totalsRowShown="0" dataDxfId="22">
  <autoFilter ref="A1:B13" xr:uid="{63DCFA8E-97AC-42DD-8543-3ACB989BC8FB}"/>
  <tableColumns count="2">
    <tableColumn id="1" xr3:uid="{DA01409B-A396-475B-A043-ACADA629D92A}" name="Job ID" dataDxfId="21"/>
    <tableColumn id="2" xr3:uid="{B2783631-DCC6-4F54-87AA-E285757FD458}" name="Job " dataDxfId="2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E29F76-231C-4A3F-BD83-E739ACC9D8E0}">
  <dimension ref="A1:G51"/>
  <sheetViews>
    <sheetView workbookViewId="0">
      <selection activeCell="C10" sqref="C10"/>
    </sheetView>
  </sheetViews>
  <sheetFormatPr defaultRowHeight="14.4" x14ac:dyDescent="0.3"/>
  <cols>
    <col min="1" max="1" width="13.44140625" customWidth="1"/>
    <col min="2" max="2" width="15.21875" customWidth="1"/>
    <col min="3" max="3" width="12.5546875" customWidth="1"/>
    <col min="4" max="4" width="18.6640625" customWidth="1"/>
    <col min="5" max="5" width="16" customWidth="1"/>
    <col min="6" max="6" width="18.44140625" customWidth="1"/>
    <col min="8" max="8" width="22.44140625" customWidth="1"/>
  </cols>
  <sheetData>
    <row r="1" spans="1:7" x14ac:dyDescent="0.3">
      <c r="A1" t="s">
        <v>0</v>
      </c>
      <c r="B1" t="s">
        <v>1</v>
      </c>
      <c r="C1" t="s">
        <v>163</v>
      </c>
      <c r="D1" t="s">
        <v>3</v>
      </c>
    </row>
    <row r="2" spans="1:7" x14ac:dyDescent="0.3">
      <c r="A2" t="s">
        <v>27</v>
      </c>
      <c r="B2" t="s">
        <v>22</v>
      </c>
      <c r="C2" t="s">
        <v>142</v>
      </c>
      <c r="D2" t="s">
        <v>167</v>
      </c>
    </row>
    <row r="3" spans="1:7" x14ac:dyDescent="0.3">
      <c r="A3" t="s">
        <v>28</v>
      </c>
      <c r="B3" t="s">
        <v>23</v>
      </c>
      <c r="C3" t="s">
        <v>150</v>
      </c>
      <c r="D3" t="s">
        <v>167</v>
      </c>
    </row>
    <row r="4" spans="1:7" x14ac:dyDescent="0.3">
      <c r="A4" t="s">
        <v>29</v>
      </c>
      <c r="B4" t="s">
        <v>24</v>
      </c>
      <c r="C4" t="s">
        <v>154</v>
      </c>
      <c r="D4" t="s">
        <v>166</v>
      </c>
    </row>
    <row r="5" spans="1:7" x14ac:dyDescent="0.3">
      <c r="A5" t="s">
        <v>30</v>
      </c>
      <c r="B5" t="s">
        <v>23</v>
      </c>
      <c r="C5" t="s">
        <v>152</v>
      </c>
      <c r="D5" t="s">
        <v>167</v>
      </c>
    </row>
    <row r="6" spans="1:7" x14ac:dyDescent="0.3">
      <c r="A6" t="s">
        <v>31</v>
      </c>
      <c r="B6" t="s">
        <v>26</v>
      </c>
      <c r="C6" t="s">
        <v>158</v>
      </c>
      <c r="D6" t="s">
        <v>166</v>
      </c>
    </row>
    <row r="7" spans="1:7" x14ac:dyDescent="0.3">
      <c r="A7" t="s">
        <v>32</v>
      </c>
      <c r="B7" t="s">
        <v>25</v>
      </c>
      <c r="C7" t="s">
        <v>146</v>
      </c>
      <c r="D7" t="s">
        <v>167</v>
      </c>
      <c r="G7" t="s">
        <v>168</v>
      </c>
    </row>
    <row r="8" spans="1:7" x14ac:dyDescent="0.3">
      <c r="A8" t="s">
        <v>33</v>
      </c>
      <c r="B8" t="s">
        <v>22</v>
      </c>
      <c r="C8" t="s">
        <v>144</v>
      </c>
      <c r="D8" t="s">
        <v>167</v>
      </c>
    </row>
    <row r="9" spans="1:7" x14ac:dyDescent="0.3">
      <c r="A9" t="s">
        <v>34</v>
      </c>
      <c r="B9" t="s">
        <v>25</v>
      </c>
      <c r="C9" t="s">
        <v>142</v>
      </c>
      <c r="D9" t="s">
        <v>167</v>
      </c>
    </row>
    <row r="10" spans="1:7" x14ac:dyDescent="0.3">
      <c r="A10" t="s">
        <v>35</v>
      </c>
      <c r="B10" t="s">
        <v>26</v>
      </c>
      <c r="C10" t="s">
        <v>158</v>
      </c>
      <c r="D10" t="s">
        <v>167</v>
      </c>
    </row>
    <row r="11" spans="1:7" x14ac:dyDescent="0.3">
      <c r="A11" t="s">
        <v>36</v>
      </c>
      <c r="B11" t="s">
        <v>26</v>
      </c>
      <c r="C11" t="s">
        <v>158</v>
      </c>
      <c r="D11" t="s">
        <v>167</v>
      </c>
    </row>
    <row r="12" spans="1:7" x14ac:dyDescent="0.3">
      <c r="A12" t="s">
        <v>37</v>
      </c>
      <c r="B12" t="s">
        <v>23</v>
      </c>
      <c r="C12" t="s">
        <v>150</v>
      </c>
      <c r="D12" t="s">
        <v>167</v>
      </c>
    </row>
    <row r="13" spans="1:7" x14ac:dyDescent="0.3">
      <c r="A13" t="s">
        <v>38</v>
      </c>
      <c r="B13" t="s">
        <v>22</v>
      </c>
      <c r="C13" t="s">
        <v>142</v>
      </c>
      <c r="D13" t="s">
        <v>167</v>
      </c>
    </row>
    <row r="14" spans="1:7" x14ac:dyDescent="0.3">
      <c r="A14" t="s">
        <v>39</v>
      </c>
      <c r="B14" t="s">
        <v>22</v>
      </c>
      <c r="C14" t="s">
        <v>144</v>
      </c>
      <c r="D14" t="s">
        <v>166</v>
      </c>
    </row>
    <row r="15" spans="1:7" x14ac:dyDescent="0.3">
      <c r="A15" t="s">
        <v>40</v>
      </c>
      <c r="B15" t="s">
        <v>24</v>
      </c>
      <c r="C15" t="s">
        <v>156</v>
      </c>
      <c r="D15" t="s">
        <v>167</v>
      </c>
    </row>
    <row r="16" spans="1:7" x14ac:dyDescent="0.3">
      <c r="A16" t="s">
        <v>41</v>
      </c>
      <c r="B16" t="s">
        <v>26</v>
      </c>
      <c r="C16" t="s">
        <v>158</v>
      </c>
      <c r="D16" t="s">
        <v>167</v>
      </c>
    </row>
    <row r="17" spans="1:4" x14ac:dyDescent="0.3">
      <c r="A17" t="s">
        <v>42</v>
      </c>
      <c r="B17" t="s">
        <v>22</v>
      </c>
      <c r="C17" t="s">
        <v>142</v>
      </c>
      <c r="D17" t="s">
        <v>167</v>
      </c>
    </row>
    <row r="18" spans="1:4" x14ac:dyDescent="0.3">
      <c r="A18" t="s">
        <v>43</v>
      </c>
      <c r="B18" t="s">
        <v>25</v>
      </c>
      <c r="C18" t="s">
        <v>146</v>
      </c>
      <c r="D18" t="s">
        <v>167</v>
      </c>
    </row>
    <row r="19" spans="1:4" x14ac:dyDescent="0.3">
      <c r="A19" t="s">
        <v>44</v>
      </c>
      <c r="B19" t="s">
        <v>25</v>
      </c>
      <c r="C19" t="s">
        <v>148</v>
      </c>
      <c r="D19" t="s">
        <v>166</v>
      </c>
    </row>
    <row r="20" spans="1:4" x14ac:dyDescent="0.3">
      <c r="A20" t="s">
        <v>45</v>
      </c>
      <c r="B20" t="s">
        <v>24</v>
      </c>
      <c r="C20" t="s">
        <v>154</v>
      </c>
      <c r="D20" t="s">
        <v>166</v>
      </c>
    </row>
    <row r="21" spans="1:4" x14ac:dyDescent="0.3">
      <c r="A21" t="s">
        <v>46</v>
      </c>
      <c r="B21" t="s">
        <v>22</v>
      </c>
      <c r="C21" t="s">
        <v>142</v>
      </c>
      <c r="D21" t="s">
        <v>167</v>
      </c>
    </row>
    <row r="22" spans="1:4" x14ac:dyDescent="0.3">
      <c r="A22" t="s">
        <v>47</v>
      </c>
      <c r="B22" t="s">
        <v>24</v>
      </c>
      <c r="C22" t="s">
        <v>156</v>
      </c>
      <c r="D22" t="s">
        <v>167</v>
      </c>
    </row>
    <row r="23" spans="1:4" x14ac:dyDescent="0.3">
      <c r="A23" t="s">
        <v>48</v>
      </c>
      <c r="B23" t="s">
        <v>24</v>
      </c>
      <c r="C23" t="s">
        <v>154</v>
      </c>
      <c r="D23" t="s">
        <v>167</v>
      </c>
    </row>
    <row r="24" spans="1:4" x14ac:dyDescent="0.3">
      <c r="A24" t="s">
        <v>49</v>
      </c>
      <c r="B24" t="s">
        <v>26</v>
      </c>
      <c r="C24" t="s">
        <v>158</v>
      </c>
      <c r="D24" t="s">
        <v>167</v>
      </c>
    </row>
    <row r="25" spans="1:4" x14ac:dyDescent="0.3">
      <c r="A25" t="s">
        <v>50</v>
      </c>
      <c r="B25" t="s">
        <v>25</v>
      </c>
      <c r="C25" t="s">
        <v>146</v>
      </c>
      <c r="D25" t="s">
        <v>167</v>
      </c>
    </row>
    <row r="26" spans="1:4" x14ac:dyDescent="0.3">
      <c r="A26" t="s">
        <v>51</v>
      </c>
      <c r="B26" t="s">
        <v>26</v>
      </c>
      <c r="C26" t="s">
        <v>160</v>
      </c>
      <c r="D26" t="s">
        <v>166</v>
      </c>
    </row>
    <row r="27" spans="1:4" x14ac:dyDescent="0.3">
      <c r="A27" t="s">
        <v>52</v>
      </c>
      <c r="B27" t="s">
        <v>21</v>
      </c>
      <c r="C27" t="s">
        <v>138</v>
      </c>
      <c r="D27" t="s">
        <v>167</v>
      </c>
    </row>
    <row r="28" spans="1:4" x14ac:dyDescent="0.3">
      <c r="A28" t="s">
        <v>53</v>
      </c>
      <c r="B28" t="s">
        <v>24</v>
      </c>
      <c r="C28" t="s">
        <v>156</v>
      </c>
      <c r="D28" t="s">
        <v>167</v>
      </c>
    </row>
    <row r="29" spans="1:4" x14ac:dyDescent="0.3">
      <c r="A29" t="s">
        <v>54</v>
      </c>
      <c r="B29" t="s">
        <v>21</v>
      </c>
      <c r="C29" t="s">
        <v>140</v>
      </c>
      <c r="D29" t="s">
        <v>166</v>
      </c>
    </row>
    <row r="30" spans="1:4" x14ac:dyDescent="0.3">
      <c r="A30" t="s">
        <v>55</v>
      </c>
      <c r="B30" t="s">
        <v>26</v>
      </c>
      <c r="C30" t="s">
        <v>158</v>
      </c>
      <c r="D30" t="s">
        <v>167</v>
      </c>
    </row>
    <row r="31" spans="1:4" x14ac:dyDescent="0.3">
      <c r="A31" t="s">
        <v>56</v>
      </c>
      <c r="B31" t="s">
        <v>23</v>
      </c>
      <c r="C31" t="s">
        <v>152</v>
      </c>
      <c r="D31" t="s">
        <v>167</v>
      </c>
    </row>
    <row r="32" spans="1:4" x14ac:dyDescent="0.3">
      <c r="A32" t="s">
        <v>57</v>
      </c>
      <c r="B32" t="s">
        <v>22</v>
      </c>
      <c r="C32" t="s">
        <v>144</v>
      </c>
      <c r="D32" t="s">
        <v>167</v>
      </c>
    </row>
    <row r="33" spans="1:4" x14ac:dyDescent="0.3">
      <c r="A33" t="s">
        <v>58</v>
      </c>
      <c r="B33" t="s">
        <v>24</v>
      </c>
      <c r="C33" t="s">
        <v>154</v>
      </c>
      <c r="D33" t="s">
        <v>167</v>
      </c>
    </row>
    <row r="34" spans="1:4" x14ac:dyDescent="0.3">
      <c r="A34" t="s">
        <v>59</v>
      </c>
      <c r="B34" t="s">
        <v>24</v>
      </c>
      <c r="C34" t="s">
        <v>156</v>
      </c>
      <c r="D34" t="s">
        <v>167</v>
      </c>
    </row>
    <row r="35" spans="1:4" x14ac:dyDescent="0.3">
      <c r="A35" t="s">
        <v>60</v>
      </c>
      <c r="B35" t="s">
        <v>25</v>
      </c>
      <c r="C35" t="s">
        <v>148</v>
      </c>
      <c r="D35" t="s">
        <v>167</v>
      </c>
    </row>
    <row r="36" spans="1:4" x14ac:dyDescent="0.3">
      <c r="A36" t="s">
        <v>61</v>
      </c>
      <c r="B36" t="s">
        <v>22</v>
      </c>
      <c r="C36" t="s">
        <v>144</v>
      </c>
      <c r="D36" t="s">
        <v>167</v>
      </c>
    </row>
    <row r="37" spans="1:4" x14ac:dyDescent="0.3">
      <c r="A37" t="s">
        <v>62</v>
      </c>
      <c r="B37" t="s">
        <v>26</v>
      </c>
      <c r="C37" t="s">
        <v>160</v>
      </c>
      <c r="D37" t="s">
        <v>166</v>
      </c>
    </row>
    <row r="38" spans="1:4" x14ac:dyDescent="0.3">
      <c r="A38" t="s">
        <v>63</v>
      </c>
      <c r="B38" t="s">
        <v>23</v>
      </c>
      <c r="C38" t="s">
        <v>150</v>
      </c>
      <c r="D38" t="s">
        <v>166</v>
      </c>
    </row>
    <row r="39" spans="1:4" x14ac:dyDescent="0.3">
      <c r="A39" t="s">
        <v>64</v>
      </c>
      <c r="B39" t="s">
        <v>26</v>
      </c>
      <c r="C39" t="s">
        <v>158</v>
      </c>
      <c r="D39" t="s">
        <v>167</v>
      </c>
    </row>
    <row r="40" spans="1:4" x14ac:dyDescent="0.3">
      <c r="A40" t="s">
        <v>65</v>
      </c>
      <c r="B40" t="s">
        <v>24</v>
      </c>
      <c r="C40" t="s">
        <v>154</v>
      </c>
      <c r="D40" t="s">
        <v>166</v>
      </c>
    </row>
    <row r="41" spans="1:4" x14ac:dyDescent="0.3">
      <c r="A41" t="s">
        <v>66</v>
      </c>
      <c r="B41" t="s">
        <v>23</v>
      </c>
      <c r="C41" t="s">
        <v>152</v>
      </c>
      <c r="D41" t="s">
        <v>167</v>
      </c>
    </row>
    <row r="42" spans="1:4" x14ac:dyDescent="0.3">
      <c r="A42" t="s">
        <v>67</v>
      </c>
      <c r="B42" t="s">
        <v>21</v>
      </c>
      <c r="C42" t="s">
        <v>140</v>
      </c>
      <c r="D42" t="s">
        <v>167</v>
      </c>
    </row>
    <row r="43" spans="1:4" x14ac:dyDescent="0.3">
      <c r="A43" t="s">
        <v>68</v>
      </c>
      <c r="B43" t="s">
        <v>21</v>
      </c>
      <c r="C43" t="s">
        <v>138</v>
      </c>
      <c r="D43" t="s">
        <v>167</v>
      </c>
    </row>
    <row r="44" spans="1:4" x14ac:dyDescent="0.3">
      <c r="A44" t="s">
        <v>69</v>
      </c>
      <c r="B44" t="s">
        <v>26</v>
      </c>
      <c r="C44" t="s">
        <v>158</v>
      </c>
      <c r="D44" t="s">
        <v>167</v>
      </c>
    </row>
    <row r="45" spans="1:4" x14ac:dyDescent="0.3">
      <c r="A45" t="s">
        <v>70</v>
      </c>
      <c r="B45" t="s">
        <v>23</v>
      </c>
      <c r="C45" t="s">
        <v>150</v>
      </c>
      <c r="D45" t="s">
        <v>167</v>
      </c>
    </row>
    <row r="46" spans="1:4" x14ac:dyDescent="0.3">
      <c r="A46" t="s">
        <v>71</v>
      </c>
      <c r="B46" t="s">
        <v>26</v>
      </c>
      <c r="C46" t="s">
        <v>158</v>
      </c>
      <c r="D46" t="s">
        <v>167</v>
      </c>
    </row>
    <row r="47" spans="1:4" x14ac:dyDescent="0.3">
      <c r="A47" t="s">
        <v>72</v>
      </c>
      <c r="B47" t="s">
        <v>23</v>
      </c>
      <c r="C47" t="s">
        <v>152</v>
      </c>
      <c r="D47" t="s">
        <v>167</v>
      </c>
    </row>
    <row r="48" spans="1:4" x14ac:dyDescent="0.3">
      <c r="A48" t="s">
        <v>73</v>
      </c>
      <c r="B48" t="s">
        <v>23</v>
      </c>
      <c r="C48" t="s">
        <v>150</v>
      </c>
      <c r="D48" t="s">
        <v>167</v>
      </c>
    </row>
    <row r="49" spans="1:4" x14ac:dyDescent="0.3">
      <c r="A49" t="s">
        <v>74</v>
      </c>
      <c r="B49" t="s">
        <v>25</v>
      </c>
      <c r="C49" t="s">
        <v>146</v>
      </c>
      <c r="D49" t="s">
        <v>167</v>
      </c>
    </row>
    <row r="50" spans="1:4" x14ac:dyDescent="0.3">
      <c r="A50" t="s">
        <v>75</v>
      </c>
      <c r="B50" t="s">
        <v>23</v>
      </c>
      <c r="C50" t="s">
        <v>152</v>
      </c>
      <c r="D50" t="s">
        <v>167</v>
      </c>
    </row>
    <row r="51" spans="1:4" x14ac:dyDescent="0.3">
      <c r="A51" t="s">
        <v>76</v>
      </c>
      <c r="B51" t="s">
        <v>26</v>
      </c>
      <c r="C51" t="s">
        <v>160</v>
      </c>
      <c r="D51" t="s">
        <v>167</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250FF-B74F-43F5-80E1-F7FA24AF7CD5}">
  <dimension ref="A1:K51"/>
  <sheetViews>
    <sheetView zoomScale="99" zoomScaleNormal="99" workbookViewId="0">
      <selection activeCell="D12" sqref="D12"/>
    </sheetView>
  </sheetViews>
  <sheetFormatPr defaultRowHeight="14.4" x14ac:dyDescent="0.3"/>
  <cols>
    <col min="1" max="1" width="16.5546875" customWidth="1"/>
    <col min="2" max="2" width="14" customWidth="1"/>
    <col min="3" max="3" width="17.109375" customWidth="1"/>
    <col min="4" max="4" width="15.109375" customWidth="1"/>
    <col min="5" max="5" width="17" customWidth="1"/>
    <col min="6" max="6" width="16.109375" customWidth="1"/>
    <col min="7" max="7" width="25.6640625" customWidth="1"/>
    <col min="8" max="8" width="16.33203125" customWidth="1"/>
    <col min="9" max="9" width="19.109375" customWidth="1"/>
    <col min="10" max="10" width="23.109375" customWidth="1"/>
    <col min="11" max="11" width="22.44140625" customWidth="1"/>
  </cols>
  <sheetData>
    <row r="1" spans="1:11" x14ac:dyDescent="0.3">
      <c r="A1" t="s">
        <v>5</v>
      </c>
      <c r="B1" t="s">
        <v>4</v>
      </c>
      <c r="C1" t="s">
        <v>2</v>
      </c>
      <c r="D1" t="s">
        <v>11</v>
      </c>
      <c r="E1" t="s">
        <v>6</v>
      </c>
      <c r="F1" t="s">
        <v>7</v>
      </c>
      <c r="G1" t="s">
        <v>14</v>
      </c>
      <c r="H1" t="s">
        <v>8</v>
      </c>
      <c r="I1" t="s">
        <v>9</v>
      </c>
      <c r="J1" t="s">
        <v>10</v>
      </c>
      <c r="K1" t="s">
        <v>169</v>
      </c>
    </row>
    <row r="2" spans="1:11" x14ac:dyDescent="0.3">
      <c r="A2" t="s">
        <v>77</v>
      </c>
      <c r="B2" t="s">
        <v>27</v>
      </c>
      <c r="C2" t="s">
        <v>127</v>
      </c>
      <c r="D2" t="s">
        <v>129</v>
      </c>
      <c r="E2" s="1">
        <v>120000</v>
      </c>
      <c r="F2" cm="1">
        <f t="array" ref="F2">_xlfn.SWITCH(TRUE(),
E2&gt;=160000,5,
E2&gt;=110000,4,
E2&gt;=90000,3,
E2&gt;=60000,2,
1
)</f>
        <v>4</v>
      </c>
      <c r="G2">
        <v>7</v>
      </c>
      <c r="H2" s="2">
        <v>2</v>
      </c>
      <c r="I2" s="2" cm="1">
        <f t="array" ref="I2">_xlfn.SWITCH(TRUE(),
H2=2,20,
H2=1,10,
H2=3,30,
"-"
)</f>
        <v>20</v>
      </c>
      <c r="J2" s="1">
        <f>IF(ISNUMBER(E2+E2*I2%),E2+E2*I2%,E2)</f>
        <v>144000</v>
      </c>
      <c r="K2" s="2" t="s">
        <v>164</v>
      </c>
    </row>
    <row r="3" spans="1:11" x14ac:dyDescent="0.3">
      <c r="A3" t="s">
        <v>78</v>
      </c>
      <c r="B3" t="s">
        <v>28</v>
      </c>
      <c r="C3" t="s">
        <v>127</v>
      </c>
      <c r="D3" t="s">
        <v>130</v>
      </c>
      <c r="E3" s="1">
        <v>60000</v>
      </c>
      <c r="F3" cm="1">
        <f t="array" ref="F3">_xlfn.SWITCH(TRUE(),
E3&gt;=160000,5,
E3&gt;=110000,4,
E3&gt;=90000,3,
E3&gt;=60000,2,
1
)</f>
        <v>2</v>
      </c>
      <c r="G3">
        <v>2</v>
      </c>
      <c r="H3" s="3" t="s">
        <v>137</v>
      </c>
      <c r="I3" s="2" t="str" cm="1">
        <f t="array" ref="I3">_xlfn.SWITCH(TRUE(),
H3=2,20,
H3=1,10,
H3=3,30,
"-"
)</f>
        <v>-</v>
      </c>
      <c r="J3" s="1">
        <f t="shared" ref="J3:J51" si="0">IF(ISNUMBER(E3+E3*I3%),E3+E3*I3%,E3)</f>
        <v>60000</v>
      </c>
      <c r="K3" s="2" t="s">
        <v>164</v>
      </c>
    </row>
    <row r="4" spans="1:11" x14ac:dyDescent="0.3">
      <c r="A4" t="s">
        <v>79</v>
      </c>
      <c r="B4" t="s">
        <v>29</v>
      </c>
      <c r="C4" t="s">
        <v>127</v>
      </c>
      <c r="D4" t="s">
        <v>130</v>
      </c>
      <c r="E4" s="1">
        <v>60000</v>
      </c>
      <c r="F4" cm="1">
        <f t="array" ref="F4">_xlfn.SWITCH(TRUE(),
E4&gt;=160000,5,
E4&gt;=110000,4,
E4&gt;=90000,3,
E4&gt;=60000,2,
1
)</f>
        <v>2</v>
      </c>
      <c r="G4">
        <v>3</v>
      </c>
      <c r="H4" s="3" t="s">
        <v>137</v>
      </c>
      <c r="I4" s="2" t="str" cm="1">
        <f t="array" ref="I4">_xlfn.SWITCH(TRUE(),
H4=2,20,
H4=1,10,
H4=3,30,
"-"
)</f>
        <v>-</v>
      </c>
      <c r="J4" s="1">
        <f t="shared" si="0"/>
        <v>60000</v>
      </c>
      <c r="K4" s="2" t="s">
        <v>165</v>
      </c>
    </row>
    <row r="5" spans="1:11" x14ac:dyDescent="0.3">
      <c r="A5" t="s">
        <v>80</v>
      </c>
      <c r="B5" t="s">
        <v>30</v>
      </c>
      <c r="C5" t="s">
        <v>127</v>
      </c>
      <c r="D5" t="s">
        <v>129</v>
      </c>
      <c r="E5" s="1">
        <v>120000</v>
      </c>
      <c r="F5" cm="1">
        <f t="array" ref="F5">_xlfn.SWITCH(TRUE(),
E5&gt;=160000,5,
E5&gt;=110000,4,
E5&gt;=90000,3,
E5&gt;=60000,2,
1
)</f>
        <v>4</v>
      </c>
      <c r="G5">
        <v>9</v>
      </c>
      <c r="H5" s="3" t="s">
        <v>137</v>
      </c>
      <c r="I5" s="2" t="str" cm="1">
        <f t="array" ref="I5">_xlfn.SWITCH(TRUE(),
H5=2,20,
H5=1,10,
H5=3,30,
"-"
)</f>
        <v>-</v>
      </c>
      <c r="J5" s="1">
        <f t="shared" si="0"/>
        <v>120000</v>
      </c>
      <c r="K5" s="2" t="s">
        <v>165</v>
      </c>
    </row>
    <row r="6" spans="1:11" x14ac:dyDescent="0.3">
      <c r="A6" t="s">
        <v>81</v>
      </c>
      <c r="B6" t="s">
        <v>31</v>
      </c>
      <c r="C6" t="s">
        <v>127</v>
      </c>
      <c r="D6" t="s">
        <v>131</v>
      </c>
      <c r="E6" s="1">
        <v>80000</v>
      </c>
      <c r="F6" cm="1">
        <f t="array" ref="F6">_xlfn.SWITCH(TRUE(),
E6&gt;=160000,5,
E6&gt;=110000,4,
E6&gt;=90000,3,
E6&gt;=60000,2,
1
)</f>
        <v>2</v>
      </c>
      <c r="G6">
        <v>1</v>
      </c>
      <c r="H6" s="3" t="s">
        <v>137</v>
      </c>
      <c r="I6" s="2" t="str" cm="1">
        <f t="array" ref="I6">_xlfn.SWITCH(TRUE(),
H6=2,20,
H6=1,10,
H6=3,30,
"-"
)</f>
        <v>-</v>
      </c>
      <c r="J6" s="1">
        <f t="shared" si="0"/>
        <v>80000</v>
      </c>
      <c r="K6" s="2" t="s">
        <v>164</v>
      </c>
    </row>
    <row r="7" spans="1:11" x14ac:dyDescent="0.3">
      <c r="A7" t="s">
        <v>82</v>
      </c>
      <c r="B7" t="s">
        <v>32</v>
      </c>
      <c r="C7" t="s">
        <v>127</v>
      </c>
      <c r="D7" t="s">
        <v>132</v>
      </c>
      <c r="E7" s="1">
        <v>50000</v>
      </c>
      <c r="F7" cm="1">
        <f t="array" ref="F7">_xlfn.SWITCH(TRUE(),
E7&gt;=160000,5,
E7&gt;=110000,4,
E7&gt;=90000,3,
E7&gt;=60000,2,
1
)</f>
        <v>1</v>
      </c>
      <c r="G7">
        <v>1</v>
      </c>
      <c r="H7" s="2">
        <v>2</v>
      </c>
      <c r="I7" s="2" cm="1">
        <f t="array" ref="I7">_xlfn.SWITCH(TRUE(),
H7=2,20,
H7=1,10,
H7=3,30,
"-"
)</f>
        <v>20</v>
      </c>
      <c r="J7" s="1">
        <f t="shared" si="0"/>
        <v>60000</v>
      </c>
      <c r="K7" s="2" t="s">
        <v>165</v>
      </c>
    </row>
    <row r="8" spans="1:11" x14ac:dyDescent="0.3">
      <c r="A8" t="s">
        <v>83</v>
      </c>
      <c r="B8" t="s">
        <v>33</v>
      </c>
      <c r="C8" t="s">
        <v>127</v>
      </c>
      <c r="D8" t="s">
        <v>129</v>
      </c>
      <c r="E8" s="1">
        <v>50000</v>
      </c>
      <c r="F8" cm="1">
        <f t="array" ref="F8">_xlfn.SWITCH(TRUE(),
E8&gt;=160000,5,
E8&gt;=110000,4,
E8&gt;=90000,3,
E8&gt;=60000,2,
1
)</f>
        <v>1</v>
      </c>
      <c r="G8">
        <v>1</v>
      </c>
      <c r="H8" s="3" t="s">
        <v>137</v>
      </c>
      <c r="I8" s="2" t="str" cm="1">
        <f t="array" ref="I8">_xlfn.SWITCH(TRUE(),
H8=2,20,
H8=1,10,
H8=3,30,
"-"
)</f>
        <v>-</v>
      </c>
      <c r="J8" s="1">
        <f t="shared" si="0"/>
        <v>50000</v>
      </c>
      <c r="K8" s="2" t="s">
        <v>164</v>
      </c>
    </row>
    <row r="9" spans="1:11" x14ac:dyDescent="0.3">
      <c r="A9" t="s">
        <v>84</v>
      </c>
      <c r="B9" t="s">
        <v>34</v>
      </c>
      <c r="C9" t="s">
        <v>127</v>
      </c>
      <c r="D9" t="s">
        <v>135</v>
      </c>
      <c r="E9" s="1">
        <v>110000</v>
      </c>
      <c r="F9" cm="1">
        <f t="array" ref="F9">_xlfn.SWITCH(TRUE(),
E9&gt;=160000,5,
E9&gt;=110000,4,
E9&gt;=90000,3,
E9&gt;=60000,2,
1
)</f>
        <v>4</v>
      </c>
      <c r="G9">
        <v>6</v>
      </c>
      <c r="H9" s="3" t="s">
        <v>137</v>
      </c>
      <c r="I9" s="2" t="str" cm="1">
        <f t="array" ref="I9">_xlfn.SWITCH(TRUE(),
H9=2,20,
H9=1,10,
H9=3,30,
"-"
)</f>
        <v>-</v>
      </c>
      <c r="J9" s="1">
        <f t="shared" si="0"/>
        <v>110000</v>
      </c>
      <c r="K9" s="2" t="s">
        <v>164</v>
      </c>
    </row>
    <row r="10" spans="1:11" x14ac:dyDescent="0.3">
      <c r="A10" t="s">
        <v>85</v>
      </c>
      <c r="B10" t="s">
        <v>35</v>
      </c>
      <c r="C10" t="s">
        <v>127</v>
      </c>
      <c r="D10" t="s">
        <v>131</v>
      </c>
      <c r="E10" s="1">
        <v>60000</v>
      </c>
      <c r="F10" cm="1">
        <f t="array" ref="F10">_xlfn.SWITCH(TRUE(),
E10&gt;=160000,5,
E10&gt;=110000,4,
E10&gt;=90000,3,
E10&gt;=60000,2,
1
)</f>
        <v>2</v>
      </c>
      <c r="G10">
        <v>3</v>
      </c>
      <c r="H10" s="3" t="s">
        <v>137</v>
      </c>
      <c r="I10" s="2" t="str" cm="1">
        <f t="array" ref="I10">_xlfn.SWITCH(TRUE(),
H10=2,20,
H10=1,10,
H10=3,30,
"-"
)</f>
        <v>-</v>
      </c>
      <c r="J10" s="1">
        <f t="shared" si="0"/>
        <v>60000</v>
      </c>
      <c r="K10" s="2" t="s">
        <v>164</v>
      </c>
    </row>
    <row r="11" spans="1:11" x14ac:dyDescent="0.3">
      <c r="A11" t="s">
        <v>86</v>
      </c>
      <c r="B11" t="s">
        <v>36</v>
      </c>
      <c r="C11" t="s">
        <v>127</v>
      </c>
      <c r="D11" t="s">
        <v>132</v>
      </c>
      <c r="E11" s="1">
        <v>80000</v>
      </c>
      <c r="F11" cm="1">
        <f t="array" ref="F11">_xlfn.SWITCH(TRUE(),
E11&gt;=160000,5,
E11&gt;=110000,4,
E11&gt;=90000,3,
E11&gt;=60000,2,
1
)</f>
        <v>2</v>
      </c>
      <c r="G11">
        <v>3</v>
      </c>
      <c r="H11" s="2">
        <v>1</v>
      </c>
      <c r="I11" s="2" cm="1">
        <f t="array" ref="I11">_xlfn.SWITCH(TRUE(),
H11=2,20,
H11=1,10,
H11=3,30,
"-"
)</f>
        <v>10</v>
      </c>
      <c r="J11" s="1">
        <f t="shared" si="0"/>
        <v>88000</v>
      </c>
      <c r="K11" s="2" t="s">
        <v>165</v>
      </c>
    </row>
    <row r="12" spans="1:11" x14ac:dyDescent="0.3">
      <c r="A12" t="s">
        <v>87</v>
      </c>
      <c r="B12" t="s">
        <v>37</v>
      </c>
      <c r="C12" t="s">
        <v>128</v>
      </c>
      <c r="D12" t="s">
        <v>129</v>
      </c>
      <c r="E12" s="1">
        <v>120000</v>
      </c>
      <c r="F12" cm="1">
        <f t="array" ref="F12">_xlfn.SWITCH(TRUE(),
E12&gt;=160000,5,
E12&gt;=110000,4,
E12&gt;=90000,3,
E12&gt;=60000,2,
1
)</f>
        <v>4</v>
      </c>
      <c r="G12">
        <v>6</v>
      </c>
      <c r="H12" s="2">
        <v>3</v>
      </c>
      <c r="I12" s="2" cm="1">
        <f t="array" ref="I12">_xlfn.SWITCH(TRUE(),
H12=2,20,
H12=1,10,
H12=3,30,
"-"
)</f>
        <v>30</v>
      </c>
      <c r="J12" s="1">
        <f t="shared" si="0"/>
        <v>156000</v>
      </c>
      <c r="K12" s="2" t="s">
        <v>164</v>
      </c>
    </row>
    <row r="13" spans="1:11" x14ac:dyDescent="0.3">
      <c r="A13" t="s">
        <v>88</v>
      </c>
      <c r="B13" t="s">
        <v>38</v>
      </c>
      <c r="C13" t="s">
        <v>128</v>
      </c>
      <c r="D13" t="s">
        <v>135</v>
      </c>
      <c r="E13" s="1">
        <v>160000</v>
      </c>
      <c r="F13" cm="1">
        <f t="array" ref="F13">_xlfn.SWITCH(TRUE(),
E13&gt;=160000,5,
E13&gt;=110000,4,
E13&gt;=90000,3,
E13&gt;=60000,2,
1
)</f>
        <v>5</v>
      </c>
      <c r="G13">
        <v>12</v>
      </c>
      <c r="H13" s="3" t="s">
        <v>137</v>
      </c>
      <c r="I13" s="2" t="str" cm="1">
        <f t="array" ref="I13">_xlfn.SWITCH(TRUE(),
H13=2,20,
H13=1,10,
H13=3,30,
"-"
)</f>
        <v>-</v>
      </c>
      <c r="J13" s="1">
        <f t="shared" si="0"/>
        <v>160000</v>
      </c>
      <c r="K13" s="2" t="s">
        <v>164</v>
      </c>
    </row>
    <row r="14" spans="1:11" x14ac:dyDescent="0.3">
      <c r="A14" t="s">
        <v>89</v>
      </c>
      <c r="B14" t="s">
        <v>39</v>
      </c>
      <c r="C14" t="s">
        <v>128</v>
      </c>
      <c r="D14" t="s">
        <v>129</v>
      </c>
      <c r="E14" s="1">
        <v>80000</v>
      </c>
      <c r="F14" cm="1">
        <f t="array" ref="F14">_xlfn.SWITCH(TRUE(),
E14&gt;=160000,5,
E14&gt;=110000,4,
E14&gt;=90000,3,
E14&gt;=60000,2,
1
)</f>
        <v>2</v>
      </c>
      <c r="G14">
        <v>3</v>
      </c>
      <c r="H14" s="3" t="s">
        <v>137</v>
      </c>
      <c r="I14" s="2" t="str" cm="1">
        <f t="array" ref="I14">_xlfn.SWITCH(TRUE(),
H14=2,20,
H14=1,10,
H14=3,30,
"-"
)</f>
        <v>-</v>
      </c>
      <c r="J14" s="1">
        <f t="shared" si="0"/>
        <v>80000</v>
      </c>
      <c r="K14" s="2" t="s">
        <v>164</v>
      </c>
    </row>
    <row r="15" spans="1:11" x14ac:dyDescent="0.3">
      <c r="A15" t="s">
        <v>90</v>
      </c>
      <c r="B15" t="s">
        <v>40</v>
      </c>
      <c r="C15" t="s">
        <v>128</v>
      </c>
      <c r="D15" t="s">
        <v>129</v>
      </c>
      <c r="E15" s="1">
        <v>120000</v>
      </c>
      <c r="F15" cm="1">
        <f t="array" ref="F15">_xlfn.SWITCH(TRUE(),
E15&gt;=160000,5,
E15&gt;=110000,4,
E15&gt;=90000,3,
E15&gt;=60000,2,
1
)</f>
        <v>4</v>
      </c>
      <c r="G15">
        <v>8</v>
      </c>
      <c r="H15" s="2">
        <v>2</v>
      </c>
      <c r="I15" s="2" cm="1">
        <f t="array" ref="I15">_xlfn.SWITCH(TRUE(),
H15=2,20,
H15=1,10,
H15=3,30,
"-"
)</f>
        <v>20</v>
      </c>
      <c r="J15" s="1">
        <f t="shared" si="0"/>
        <v>144000</v>
      </c>
      <c r="K15" s="2" t="s">
        <v>164</v>
      </c>
    </row>
    <row r="16" spans="1:11" x14ac:dyDescent="0.3">
      <c r="A16" t="s">
        <v>91</v>
      </c>
      <c r="B16" t="s">
        <v>41</v>
      </c>
      <c r="C16" t="s">
        <v>128</v>
      </c>
      <c r="D16" t="s">
        <v>129</v>
      </c>
      <c r="E16" s="1">
        <v>80000</v>
      </c>
      <c r="F16" cm="1">
        <f t="array" ref="F16">_xlfn.SWITCH(TRUE(),
E16&gt;=160000,5,
E16&gt;=110000,4,
E16&gt;=90000,3,
E16&gt;=60000,2,
1
)</f>
        <v>2</v>
      </c>
      <c r="G16">
        <v>1</v>
      </c>
      <c r="H16" s="2">
        <v>1</v>
      </c>
      <c r="I16" s="2" cm="1">
        <f t="array" ref="I16">_xlfn.SWITCH(TRUE(),
H16=2,20,
H16=1,10,
H16=3,30,
"-"
)</f>
        <v>10</v>
      </c>
      <c r="J16" s="1">
        <f t="shared" si="0"/>
        <v>88000</v>
      </c>
      <c r="K16" s="2" t="s">
        <v>164</v>
      </c>
    </row>
    <row r="17" spans="1:11" x14ac:dyDescent="0.3">
      <c r="A17" t="s">
        <v>92</v>
      </c>
      <c r="B17" t="s">
        <v>42</v>
      </c>
      <c r="C17" t="s">
        <v>128</v>
      </c>
      <c r="D17" t="s">
        <v>131</v>
      </c>
      <c r="E17" s="1">
        <v>80000</v>
      </c>
      <c r="F17" cm="1">
        <f t="array" ref="F17">_xlfn.SWITCH(TRUE(),
E17&gt;=160000,5,
E17&gt;=110000,4,
E17&gt;=90000,3,
E17&gt;=60000,2,
1
)</f>
        <v>2</v>
      </c>
      <c r="G17">
        <v>3</v>
      </c>
      <c r="H17" s="3" t="s">
        <v>137</v>
      </c>
      <c r="I17" s="2" t="str" cm="1">
        <f t="array" ref="I17">_xlfn.SWITCH(TRUE(),
H17=2,20,
H17=1,10,
H17=3,30,
"-"
)</f>
        <v>-</v>
      </c>
      <c r="J17" s="1">
        <f t="shared" si="0"/>
        <v>80000</v>
      </c>
      <c r="K17" s="2" t="s">
        <v>164</v>
      </c>
    </row>
    <row r="18" spans="1:11" x14ac:dyDescent="0.3">
      <c r="A18" t="s">
        <v>93</v>
      </c>
      <c r="B18" t="s">
        <v>43</v>
      </c>
      <c r="C18" t="s">
        <v>128</v>
      </c>
      <c r="D18" t="s">
        <v>132</v>
      </c>
      <c r="E18" s="1">
        <v>120000</v>
      </c>
      <c r="F18" cm="1">
        <f t="array" ref="F18">_xlfn.SWITCH(TRUE(),
E18&gt;=160000,5,
E18&gt;=110000,4,
E18&gt;=90000,3,
E18&gt;=60000,2,
1
)</f>
        <v>4</v>
      </c>
      <c r="G18">
        <v>6</v>
      </c>
      <c r="H18" s="2">
        <v>3</v>
      </c>
      <c r="I18" s="2" cm="1">
        <f t="array" ref="I18">_xlfn.SWITCH(TRUE(),
H18=2,20,
H18=1,10,
H18=3,30,
"-"
)</f>
        <v>30</v>
      </c>
      <c r="J18" s="1">
        <f t="shared" si="0"/>
        <v>156000</v>
      </c>
      <c r="K18" s="2" t="s">
        <v>164</v>
      </c>
    </row>
    <row r="19" spans="1:11" x14ac:dyDescent="0.3">
      <c r="A19" t="s">
        <v>94</v>
      </c>
      <c r="B19" t="s">
        <v>44</v>
      </c>
      <c r="C19" t="s">
        <v>128</v>
      </c>
      <c r="D19" t="s">
        <v>135</v>
      </c>
      <c r="E19" s="1">
        <v>160000</v>
      </c>
      <c r="F19" cm="1">
        <f t="array" ref="F19">_xlfn.SWITCH(TRUE(),
E19&gt;=160000,5,
E19&gt;=110000,4,
E19&gt;=90000,3,
E19&gt;=60000,2,
1
)</f>
        <v>5</v>
      </c>
      <c r="G19">
        <v>12</v>
      </c>
      <c r="H19" s="3" t="s">
        <v>137</v>
      </c>
      <c r="I19" s="2" t="str" cm="1">
        <f t="array" ref="I19">_xlfn.SWITCH(TRUE(),
H19=2,20,
H19=1,10,
H19=3,30,
"-"
)</f>
        <v>-</v>
      </c>
      <c r="J19" s="1">
        <f t="shared" si="0"/>
        <v>160000</v>
      </c>
      <c r="K19" s="2" t="s">
        <v>165</v>
      </c>
    </row>
    <row r="20" spans="1:11" x14ac:dyDescent="0.3">
      <c r="A20" t="s">
        <v>95</v>
      </c>
      <c r="B20" t="s">
        <v>45</v>
      </c>
      <c r="C20" t="s">
        <v>128</v>
      </c>
      <c r="D20" t="s">
        <v>129</v>
      </c>
      <c r="E20" s="1">
        <v>120000</v>
      </c>
      <c r="F20" cm="1">
        <f t="array" ref="F20">_xlfn.SWITCH(TRUE(),
E20&gt;=160000,5,
E20&gt;=110000,4,
E20&gt;=90000,3,
E20&gt;=60000,2,
1
)</f>
        <v>4</v>
      </c>
      <c r="G20">
        <v>6</v>
      </c>
      <c r="H20" s="3" t="s">
        <v>137</v>
      </c>
      <c r="I20" s="2" t="str" cm="1">
        <f t="array" ref="I20">_xlfn.SWITCH(TRUE(),
H20=2,20,
H20=1,10,
H20=3,30,
"-"
)</f>
        <v>-</v>
      </c>
      <c r="J20" s="1">
        <f t="shared" si="0"/>
        <v>120000</v>
      </c>
      <c r="K20" s="2" t="s">
        <v>164</v>
      </c>
    </row>
    <row r="21" spans="1:11" x14ac:dyDescent="0.3">
      <c r="A21" t="s">
        <v>96</v>
      </c>
      <c r="B21" t="s">
        <v>46</v>
      </c>
      <c r="C21" t="s">
        <v>128</v>
      </c>
      <c r="D21" t="s">
        <v>129</v>
      </c>
      <c r="E21" s="1">
        <v>120000</v>
      </c>
      <c r="F21" cm="1">
        <f t="array" ref="F21">_xlfn.SWITCH(TRUE(),
E21&gt;=160000,5,
E21&gt;=110000,4,
E21&gt;=90000,3,
E21&gt;=60000,2,
1
)</f>
        <v>4</v>
      </c>
      <c r="G21">
        <v>9</v>
      </c>
      <c r="H21" s="2">
        <v>2</v>
      </c>
      <c r="I21" s="2" cm="1">
        <f t="array" ref="I21">_xlfn.SWITCH(TRUE(),
H21=2,20,
H21=1,10,
H21=3,30,
"-"
)</f>
        <v>20</v>
      </c>
      <c r="J21" s="1">
        <f t="shared" si="0"/>
        <v>144000</v>
      </c>
      <c r="K21" s="2" t="s">
        <v>164</v>
      </c>
    </row>
    <row r="22" spans="1:11" x14ac:dyDescent="0.3">
      <c r="A22" t="s">
        <v>97</v>
      </c>
      <c r="B22" t="s">
        <v>47</v>
      </c>
      <c r="C22" t="s">
        <v>127</v>
      </c>
      <c r="D22" t="s">
        <v>130</v>
      </c>
      <c r="E22" s="1">
        <v>80000</v>
      </c>
      <c r="F22" cm="1">
        <f t="array" ref="F22">_xlfn.SWITCH(TRUE(),
E22&gt;=160000,5,
E22&gt;=110000,4,
E22&gt;=90000,3,
E22&gt;=60000,2,
1
)</f>
        <v>2</v>
      </c>
      <c r="G22">
        <v>2</v>
      </c>
      <c r="H22" s="2">
        <v>2</v>
      </c>
      <c r="I22" s="2" cm="1">
        <f t="array" ref="I22">_xlfn.SWITCH(TRUE(),
H22=2,20,
H22=1,10,
H22=3,30,
"-"
)</f>
        <v>20</v>
      </c>
      <c r="J22" s="1">
        <f t="shared" si="0"/>
        <v>96000</v>
      </c>
      <c r="K22" s="2" t="s">
        <v>164</v>
      </c>
    </row>
    <row r="23" spans="1:11" x14ac:dyDescent="0.3">
      <c r="A23" t="s">
        <v>98</v>
      </c>
      <c r="B23" t="s">
        <v>48</v>
      </c>
      <c r="C23" t="s">
        <v>127</v>
      </c>
      <c r="D23" t="s">
        <v>133</v>
      </c>
      <c r="E23" s="1">
        <v>60000</v>
      </c>
      <c r="F23" cm="1">
        <f t="array" ref="F23">_xlfn.SWITCH(TRUE(),
E23&gt;=160000,5,
E23&gt;=110000,4,
E23&gt;=90000,3,
E23&gt;=60000,2,
1
)</f>
        <v>2</v>
      </c>
      <c r="G23">
        <v>3</v>
      </c>
      <c r="H23" s="3" t="s">
        <v>137</v>
      </c>
      <c r="I23" s="2" t="str" cm="1">
        <f t="array" ref="I23">_xlfn.SWITCH(TRUE(),
H23=2,20,
H23=1,10,
H23=3,30,
"-"
)</f>
        <v>-</v>
      </c>
      <c r="J23" s="1">
        <f t="shared" si="0"/>
        <v>60000</v>
      </c>
      <c r="K23" s="2" t="s">
        <v>164</v>
      </c>
    </row>
    <row r="24" spans="1:11" x14ac:dyDescent="0.3">
      <c r="A24" t="s">
        <v>99</v>
      </c>
      <c r="B24" t="s">
        <v>49</v>
      </c>
      <c r="C24" t="s">
        <v>127</v>
      </c>
      <c r="D24" t="s">
        <v>130</v>
      </c>
      <c r="E24" s="1">
        <v>60000</v>
      </c>
      <c r="F24" cm="1">
        <f t="array" ref="F24">_xlfn.SWITCH(TRUE(),
E24&gt;=160000,5,
E24&gt;=110000,4,
E24&gt;=90000,3,
E24&gt;=60000,2,
1
)</f>
        <v>2</v>
      </c>
      <c r="G24">
        <v>1</v>
      </c>
      <c r="H24" s="2">
        <v>2</v>
      </c>
      <c r="I24" s="2" cm="1">
        <f t="array" ref="I24">_xlfn.SWITCH(TRUE(),
H24=2,20,
H24=1,10,
H24=3,30,
"-"
)</f>
        <v>20</v>
      </c>
      <c r="J24" s="1">
        <f t="shared" si="0"/>
        <v>72000</v>
      </c>
      <c r="K24" s="2" t="s">
        <v>164</v>
      </c>
    </row>
    <row r="25" spans="1:11" x14ac:dyDescent="0.3">
      <c r="A25" t="s">
        <v>100</v>
      </c>
      <c r="B25" t="s">
        <v>50</v>
      </c>
      <c r="C25" t="s">
        <v>128</v>
      </c>
      <c r="D25" t="s">
        <v>133</v>
      </c>
      <c r="E25" s="1">
        <v>60000</v>
      </c>
      <c r="F25" cm="1">
        <f t="array" ref="F25">_xlfn.SWITCH(TRUE(),
E25&gt;=160000,5,
E25&gt;=110000,4,
E25&gt;=90000,3,
E25&gt;=60000,2,
1
)</f>
        <v>2</v>
      </c>
      <c r="G25">
        <v>1</v>
      </c>
      <c r="H25" s="3" t="s">
        <v>137</v>
      </c>
      <c r="I25" s="2" t="str" cm="1">
        <f t="array" ref="I25">_xlfn.SWITCH(TRUE(),
H25=2,20,
H25=1,10,
H25=3,30,
"-"
)</f>
        <v>-</v>
      </c>
      <c r="J25" s="1">
        <f t="shared" si="0"/>
        <v>60000</v>
      </c>
      <c r="K25" s="2" t="s">
        <v>165</v>
      </c>
    </row>
    <row r="26" spans="1:11" x14ac:dyDescent="0.3">
      <c r="A26" t="s">
        <v>101</v>
      </c>
      <c r="B26" t="s">
        <v>51</v>
      </c>
      <c r="C26" t="s">
        <v>127</v>
      </c>
      <c r="D26" t="s">
        <v>134</v>
      </c>
      <c r="E26" s="1">
        <v>90000</v>
      </c>
      <c r="F26" cm="1">
        <f t="array" ref="F26">_xlfn.SWITCH(TRUE(),
E26&gt;=160000,5,
E26&gt;=110000,4,
E26&gt;=90000,3,
E26&gt;=60000,2,
1
)</f>
        <v>3</v>
      </c>
      <c r="G26">
        <v>4</v>
      </c>
      <c r="H26" s="2">
        <v>2</v>
      </c>
      <c r="I26" s="2" cm="1">
        <f t="array" ref="I26">_xlfn.SWITCH(TRUE(),
H26=2,20,
H26=1,10,
H26=3,30,
"-"
)</f>
        <v>20</v>
      </c>
      <c r="J26" s="1">
        <f t="shared" si="0"/>
        <v>108000</v>
      </c>
      <c r="K26" s="2" t="s">
        <v>164</v>
      </c>
    </row>
    <row r="27" spans="1:11" x14ac:dyDescent="0.3">
      <c r="A27" t="s">
        <v>102</v>
      </c>
      <c r="B27" t="s">
        <v>52</v>
      </c>
      <c r="C27" t="s">
        <v>127</v>
      </c>
      <c r="D27" t="s">
        <v>134</v>
      </c>
      <c r="E27" s="1">
        <v>90000</v>
      </c>
      <c r="F27" cm="1">
        <f t="array" ref="F27">_xlfn.SWITCH(TRUE(),
E27&gt;=160000,5,
E27&gt;=110000,4,
E27&gt;=90000,3,
E27&gt;=60000,2,
1
)</f>
        <v>3</v>
      </c>
      <c r="G27">
        <v>4</v>
      </c>
      <c r="H27" s="3" t="s">
        <v>137</v>
      </c>
      <c r="I27" s="2" t="str" cm="1">
        <f t="array" ref="I27">_xlfn.SWITCH(TRUE(),
H27=2,20,
H27=1,10,
H27=3,30,
"-"
)</f>
        <v>-</v>
      </c>
      <c r="J27" s="1">
        <f t="shared" si="0"/>
        <v>90000</v>
      </c>
      <c r="K27" s="2" t="s">
        <v>165</v>
      </c>
    </row>
    <row r="28" spans="1:11" x14ac:dyDescent="0.3">
      <c r="A28" t="s">
        <v>103</v>
      </c>
      <c r="B28" t="s">
        <v>53</v>
      </c>
      <c r="C28" t="s">
        <v>127</v>
      </c>
      <c r="D28" t="s">
        <v>129</v>
      </c>
      <c r="E28" s="1">
        <v>80000</v>
      </c>
      <c r="F28" cm="1">
        <f t="array" ref="F28">_xlfn.SWITCH(TRUE(),
E28&gt;=160000,5,
E28&gt;=110000,4,
E28&gt;=90000,3,
E28&gt;=60000,2,
1
)</f>
        <v>2</v>
      </c>
      <c r="G28">
        <v>1</v>
      </c>
      <c r="H28" s="3" t="s">
        <v>137</v>
      </c>
      <c r="I28" s="2" t="str" cm="1">
        <f t="array" ref="I28">_xlfn.SWITCH(TRUE(),
H28=2,20,
H28=1,10,
H28=3,30,
"-"
)</f>
        <v>-</v>
      </c>
      <c r="J28" s="1">
        <f t="shared" si="0"/>
        <v>80000</v>
      </c>
      <c r="K28" s="2" t="s">
        <v>164</v>
      </c>
    </row>
    <row r="29" spans="1:11" x14ac:dyDescent="0.3">
      <c r="A29" t="s">
        <v>104</v>
      </c>
      <c r="B29" t="s">
        <v>54</v>
      </c>
      <c r="C29" t="s">
        <v>127</v>
      </c>
      <c r="D29" t="s">
        <v>129</v>
      </c>
      <c r="E29" s="1">
        <v>120000</v>
      </c>
      <c r="F29" cm="1">
        <f t="array" ref="F29">_xlfn.SWITCH(TRUE(),
E29&gt;=160000,5,
E29&gt;=110000,4,
E29&gt;=90000,3,
E29&gt;=60000,2,
1
)</f>
        <v>4</v>
      </c>
      <c r="G29">
        <v>9</v>
      </c>
      <c r="H29" s="3" t="s">
        <v>137</v>
      </c>
      <c r="I29" s="2" t="str" cm="1">
        <f t="array" ref="I29">_xlfn.SWITCH(TRUE(),
H29=2,20,
H29=1,10,
H29=3,30,
"-"
)</f>
        <v>-</v>
      </c>
      <c r="J29" s="1">
        <f t="shared" si="0"/>
        <v>120000</v>
      </c>
      <c r="K29" s="2" t="s">
        <v>164</v>
      </c>
    </row>
    <row r="30" spans="1:11" x14ac:dyDescent="0.3">
      <c r="A30" t="s">
        <v>105</v>
      </c>
      <c r="B30" t="s">
        <v>55</v>
      </c>
      <c r="C30" t="s">
        <v>127</v>
      </c>
      <c r="D30" t="s">
        <v>133</v>
      </c>
      <c r="E30" s="1">
        <v>90000</v>
      </c>
      <c r="F30" cm="1">
        <f t="array" ref="F30">_xlfn.SWITCH(TRUE(),
E30&gt;=160000,5,
E30&gt;=110000,4,
E30&gt;=90000,3,
E30&gt;=60000,2,
1
)</f>
        <v>3</v>
      </c>
      <c r="G30">
        <v>5</v>
      </c>
      <c r="H30" s="3" t="s">
        <v>137</v>
      </c>
      <c r="I30" s="2" t="str" cm="1">
        <f t="array" ref="I30">_xlfn.SWITCH(TRUE(),
H30=2,20,
H30=1,10,
H30=3,30,
"-"
)</f>
        <v>-</v>
      </c>
      <c r="J30" s="1">
        <f t="shared" si="0"/>
        <v>90000</v>
      </c>
      <c r="K30" s="2" t="s">
        <v>165</v>
      </c>
    </row>
    <row r="31" spans="1:11" x14ac:dyDescent="0.3">
      <c r="A31" t="s">
        <v>106</v>
      </c>
      <c r="B31" t="s">
        <v>56</v>
      </c>
      <c r="C31" t="s">
        <v>127</v>
      </c>
      <c r="D31" t="s">
        <v>132</v>
      </c>
      <c r="E31" s="1">
        <v>50000</v>
      </c>
      <c r="F31" cm="1">
        <f t="array" ref="F31">_xlfn.SWITCH(TRUE(),
E31&gt;=160000,5,
E31&gt;=110000,4,
E31&gt;=90000,3,
E31&gt;=60000,2,
1
)</f>
        <v>1</v>
      </c>
      <c r="G31">
        <v>1</v>
      </c>
      <c r="H31" s="2">
        <v>3</v>
      </c>
      <c r="I31" s="2" cm="1">
        <f t="array" ref="I31">_xlfn.SWITCH(TRUE(),
H31=2,20,
H31=1,10,
H31=3,30,
"-"
)</f>
        <v>30</v>
      </c>
      <c r="J31" s="1">
        <f t="shared" si="0"/>
        <v>65000</v>
      </c>
      <c r="K31" s="2" t="s">
        <v>165</v>
      </c>
    </row>
    <row r="32" spans="1:11" x14ac:dyDescent="0.3">
      <c r="A32" t="s">
        <v>107</v>
      </c>
      <c r="B32" t="s">
        <v>57</v>
      </c>
      <c r="C32" t="s">
        <v>128</v>
      </c>
      <c r="D32" t="s">
        <v>132</v>
      </c>
      <c r="E32" s="1">
        <v>120000</v>
      </c>
      <c r="F32" cm="1">
        <f t="array" ref="F32">_xlfn.SWITCH(TRUE(),
E32&gt;=160000,5,
E32&gt;=110000,4,
E32&gt;=90000,3,
E32&gt;=60000,2,
1
)</f>
        <v>4</v>
      </c>
      <c r="G32">
        <v>8</v>
      </c>
      <c r="H32" s="3" t="s">
        <v>137</v>
      </c>
      <c r="I32" s="2" t="str" cm="1">
        <f t="array" ref="I32">_xlfn.SWITCH(TRUE(),
H32=2,20,
H32=1,10,
H32=3,30,
"-"
)</f>
        <v>-</v>
      </c>
      <c r="J32" s="1">
        <f t="shared" si="0"/>
        <v>120000</v>
      </c>
      <c r="K32" s="2" t="s">
        <v>165</v>
      </c>
    </row>
    <row r="33" spans="1:11" x14ac:dyDescent="0.3">
      <c r="A33" t="s">
        <v>108</v>
      </c>
      <c r="B33" t="s">
        <v>58</v>
      </c>
      <c r="C33" t="s">
        <v>128</v>
      </c>
      <c r="D33" t="s">
        <v>133</v>
      </c>
      <c r="E33" s="1">
        <v>90000</v>
      </c>
      <c r="F33" cm="1">
        <f t="array" ref="F33">_xlfn.SWITCH(TRUE(),
E33&gt;=160000,5,
E33&gt;=110000,4,
E33&gt;=90000,3,
E33&gt;=60000,2,
1
)</f>
        <v>3</v>
      </c>
      <c r="G33">
        <v>4</v>
      </c>
      <c r="H33" s="3" t="s">
        <v>137</v>
      </c>
      <c r="I33" s="2" t="str" cm="1">
        <f t="array" ref="I33">_xlfn.SWITCH(TRUE(),
H33=2,20,
H33=1,10,
H33=3,30,
"-"
)</f>
        <v>-</v>
      </c>
      <c r="J33" s="1">
        <f t="shared" si="0"/>
        <v>90000</v>
      </c>
      <c r="K33" s="2" t="s">
        <v>164</v>
      </c>
    </row>
    <row r="34" spans="1:11" x14ac:dyDescent="0.3">
      <c r="A34" t="s">
        <v>109</v>
      </c>
      <c r="B34" t="s">
        <v>59</v>
      </c>
      <c r="C34" t="s">
        <v>128</v>
      </c>
      <c r="D34" t="s">
        <v>129</v>
      </c>
      <c r="E34" s="1">
        <v>50000</v>
      </c>
      <c r="F34" cm="1">
        <f t="array" ref="F34">_xlfn.SWITCH(TRUE(),
E34&gt;=160000,5,
E34&gt;=110000,4,
E34&gt;=90000,3,
E34&gt;=60000,2,
1
)</f>
        <v>1</v>
      </c>
      <c r="G34">
        <v>2</v>
      </c>
      <c r="H34" s="3" t="s">
        <v>137</v>
      </c>
      <c r="I34" s="2" t="str" cm="1">
        <f t="array" ref="I34">_xlfn.SWITCH(TRUE(),
H34=2,20,
H34=1,10,
H34=3,30,
"-"
)</f>
        <v>-</v>
      </c>
      <c r="J34" s="1">
        <f t="shared" si="0"/>
        <v>50000</v>
      </c>
      <c r="K34" s="2" t="s">
        <v>164</v>
      </c>
    </row>
    <row r="35" spans="1:11" x14ac:dyDescent="0.3">
      <c r="A35" t="s">
        <v>110</v>
      </c>
      <c r="B35" t="s">
        <v>60</v>
      </c>
      <c r="C35" t="s">
        <v>128</v>
      </c>
      <c r="D35" t="s">
        <v>133</v>
      </c>
      <c r="E35" s="1">
        <v>120000</v>
      </c>
      <c r="F35" cm="1">
        <f t="array" ref="F35">_xlfn.SWITCH(TRUE(),
E35&gt;=160000,5,
E35&gt;=110000,4,
E35&gt;=90000,3,
E35&gt;=60000,2,
1
)</f>
        <v>4</v>
      </c>
      <c r="G35">
        <v>9</v>
      </c>
      <c r="H35" s="3" t="s">
        <v>137</v>
      </c>
      <c r="I35" s="2" t="str" cm="1">
        <f t="array" ref="I35">_xlfn.SWITCH(TRUE(),
H35=2,20,
H35=1,10,
H35=3,30,
"-"
)</f>
        <v>-</v>
      </c>
      <c r="J35" s="1">
        <f t="shared" si="0"/>
        <v>120000</v>
      </c>
      <c r="K35" s="2" t="s">
        <v>164</v>
      </c>
    </row>
    <row r="36" spans="1:11" x14ac:dyDescent="0.3">
      <c r="A36" t="s">
        <v>111</v>
      </c>
      <c r="B36" t="s">
        <v>61</v>
      </c>
      <c r="C36" t="s">
        <v>128</v>
      </c>
      <c r="D36" t="s">
        <v>130</v>
      </c>
      <c r="E36" s="1">
        <v>60000</v>
      </c>
      <c r="F36" cm="1">
        <f t="array" ref="F36">_xlfn.SWITCH(TRUE(),
E36&gt;=160000,5,
E36&gt;=110000,4,
E36&gt;=90000,3,
E36&gt;=60000,2,
1
)</f>
        <v>2</v>
      </c>
      <c r="G36">
        <v>1</v>
      </c>
      <c r="H36" s="3" t="s">
        <v>137</v>
      </c>
      <c r="I36" s="2" t="str" cm="1">
        <f t="array" ref="I36">_xlfn.SWITCH(TRUE(),
H36=2,20,
H36=1,10,
H36=3,30,
"-"
)</f>
        <v>-</v>
      </c>
      <c r="J36" s="1">
        <f t="shared" si="0"/>
        <v>60000</v>
      </c>
      <c r="K36" s="2" t="s">
        <v>164</v>
      </c>
    </row>
    <row r="37" spans="1:11" x14ac:dyDescent="0.3">
      <c r="A37" t="s">
        <v>112</v>
      </c>
      <c r="B37" t="s">
        <v>62</v>
      </c>
      <c r="C37" t="s">
        <v>128</v>
      </c>
      <c r="D37" t="s">
        <v>134</v>
      </c>
      <c r="E37" s="1">
        <v>90000</v>
      </c>
      <c r="F37" cm="1">
        <f t="array" ref="F37">_xlfn.SWITCH(TRUE(),
E37&gt;=160000,5,
E37&gt;=110000,4,
E37&gt;=90000,3,
E37&gt;=60000,2,
1
)</f>
        <v>3</v>
      </c>
      <c r="G37">
        <v>5</v>
      </c>
      <c r="H37" s="2">
        <v>3</v>
      </c>
      <c r="I37" s="2" cm="1">
        <f t="array" ref="I37">_xlfn.SWITCH(TRUE(),
H37=2,20,
H37=1,10,
H37=3,30,
"-"
)</f>
        <v>30</v>
      </c>
      <c r="J37" s="1">
        <f t="shared" si="0"/>
        <v>117000</v>
      </c>
      <c r="K37" s="2" t="s">
        <v>165</v>
      </c>
    </row>
    <row r="38" spans="1:11" x14ac:dyDescent="0.3">
      <c r="A38" t="s">
        <v>113</v>
      </c>
      <c r="B38" t="s">
        <v>63</v>
      </c>
      <c r="C38" t="s">
        <v>128</v>
      </c>
      <c r="D38" t="s">
        <v>133</v>
      </c>
      <c r="E38" s="1">
        <v>120000</v>
      </c>
      <c r="F38" cm="1">
        <f t="array" ref="F38">_xlfn.SWITCH(TRUE(),
E38&gt;=160000,5,
E38&gt;=110000,4,
E38&gt;=90000,3,
E38&gt;=60000,2,
1
)</f>
        <v>4</v>
      </c>
      <c r="G38">
        <v>9</v>
      </c>
      <c r="H38" s="3" t="s">
        <v>137</v>
      </c>
      <c r="I38" s="2" t="str" cm="1">
        <f t="array" ref="I38">_xlfn.SWITCH(TRUE(),
H38=2,20,
H38=1,10,
H38=3,30,
"-"
)</f>
        <v>-</v>
      </c>
      <c r="J38" s="1">
        <f t="shared" si="0"/>
        <v>120000</v>
      </c>
      <c r="K38" s="2" t="s">
        <v>165</v>
      </c>
    </row>
    <row r="39" spans="1:11" x14ac:dyDescent="0.3">
      <c r="A39" t="s">
        <v>114</v>
      </c>
      <c r="B39" t="s">
        <v>64</v>
      </c>
      <c r="C39" t="s">
        <v>128</v>
      </c>
      <c r="D39" t="s">
        <v>129</v>
      </c>
      <c r="E39" s="1">
        <v>120000</v>
      </c>
      <c r="F39" cm="1">
        <f t="array" ref="F39">_xlfn.SWITCH(TRUE(),
E39&gt;=160000,5,
E39&gt;=110000,4,
E39&gt;=90000,3,
E39&gt;=60000,2,
1
)</f>
        <v>4</v>
      </c>
      <c r="G39">
        <v>6</v>
      </c>
      <c r="H39" s="2">
        <v>3</v>
      </c>
      <c r="I39" s="2" cm="1">
        <f t="array" ref="I39">_xlfn.SWITCH(TRUE(),
H39=2,20,
H39=1,10,
H39=3,30,
"-"
)</f>
        <v>30</v>
      </c>
      <c r="J39" s="1">
        <f t="shared" si="0"/>
        <v>156000</v>
      </c>
      <c r="K39" s="2" t="s">
        <v>164</v>
      </c>
    </row>
    <row r="40" spans="1:11" x14ac:dyDescent="0.3">
      <c r="A40" t="s">
        <v>115</v>
      </c>
      <c r="B40" t="s">
        <v>65</v>
      </c>
      <c r="C40" t="s">
        <v>128</v>
      </c>
      <c r="D40" t="s">
        <v>136</v>
      </c>
      <c r="E40" s="1">
        <v>50000</v>
      </c>
      <c r="F40" cm="1">
        <f t="array" ref="F40">_xlfn.SWITCH(TRUE(),
E40&gt;=160000,5,
E40&gt;=110000,4,
E40&gt;=90000,3,
E40&gt;=60000,2,
1
)</f>
        <v>1</v>
      </c>
      <c r="G40">
        <v>1</v>
      </c>
      <c r="H40" s="3" t="s">
        <v>137</v>
      </c>
      <c r="I40" s="2" t="str" cm="1">
        <f t="array" ref="I40">_xlfn.SWITCH(TRUE(),
H40=2,20,
H40=1,10,
H40=3,30,
"-"
)</f>
        <v>-</v>
      </c>
      <c r="J40" s="1">
        <f t="shared" si="0"/>
        <v>50000</v>
      </c>
      <c r="K40" s="2" t="s">
        <v>164</v>
      </c>
    </row>
    <row r="41" spans="1:11" x14ac:dyDescent="0.3">
      <c r="A41" t="s">
        <v>116</v>
      </c>
      <c r="B41" t="s">
        <v>66</v>
      </c>
      <c r="C41" t="s">
        <v>128</v>
      </c>
      <c r="D41" t="s">
        <v>132</v>
      </c>
      <c r="E41" s="1">
        <v>80000</v>
      </c>
      <c r="F41" cm="1">
        <f t="array" ref="F41">_xlfn.SWITCH(TRUE(),
E41&gt;=160000,5,
E41&gt;=110000,4,
E41&gt;=90000,3,
E41&gt;=60000,2,
1
)</f>
        <v>2</v>
      </c>
      <c r="G41">
        <v>1</v>
      </c>
      <c r="H41" s="2">
        <v>3</v>
      </c>
      <c r="I41" s="2" cm="1">
        <f t="array" ref="I41">_xlfn.SWITCH(TRUE(),
H41=2,20,
H41=1,10,
H41=3,30,
"-"
)</f>
        <v>30</v>
      </c>
      <c r="J41" s="1">
        <f t="shared" si="0"/>
        <v>104000</v>
      </c>
      <c r="K41" s="2" t="s">
        <v>164</v>
      </c>
    </row>
    <row r="42" spans="1:11" x14ac:dyDescent="0.3">
      <c r="A42" t="s">
        <v>117</v>
      </c>
      <c r="B42" t="s">
        <v>67</v>
      </c>
      <c r="C42" t="s">
        <v>127</v>
      </c>
      <c r="D42" t="s">
        <v>132</v>
      </c>
      <c r="E42" s="1">
        <v>120000</v>
      </c>
      <c r="F42" cm="1">
        <f t="array" ref="F42">_xlfn.SWITCH(TRUE(),
E42&gt;=160000,5,
E42&gt;=110000,4,
E42&gt;=90000,3,
E42&gt;=60000,2,
1
)</f>
        <v>4</v>
      </c>
      <c r="G42">
        <v>9</v>
      </c>
      <c r="H42" s="2">
        <v>2</v>
      </c>
      <c r="I42" s="2" cm="1">
        <f t="array" ref="I42">_xlfn.SWITCH(TRUE(),
H42=2,20,
H42=1,10,
H42=3,30,
"-"
)</f>
        <v>20</v>
      </c>
      <c r="J42" s="1">
        <f t="shared" si="0"/>
        <v>144000</v>
      </c>
      <c r="K42" s="2" t="s">
        <v>164</v>
      </c>
    </row>
    <row r="43" spans="1:11" x14ac:dyDescent="0.3">
      <c r="A43" t="s">
        <v>118</v>
      </c>
      <c r="B43" t="s">
        <v>68</v>
      </c>
      <c r="C43" t="s">
        <v>127</v>
      </c>
      <c r="D43" t="s">
        <v>129</v>
      </c>
      <c r="E43" s="1">
        <v>80000</v>
      </c>
      <c r="F43" cm="1">
        <f t="array" ref="F43">_xlfn.SWITCH(TRUE(),
E43&gt;=160000,5,
E43&gt;=110000,4,
E43&gt;=90000,3,
E43&gt;=60000,2,
1
)</f>
        <v>2</v>
      </c>
      <c r="G43">
        <v>1</v>
      </c>
      <c r="H43" s="3" t="s">
        <v>137</v>
      </c>
      <c r="I43" s="2" t="str" cm="1">
        <f t="array" ref="I43">_xlfn.SWITCH(TRUE(),
H43=2,20,
H43=1,10,
H43=3,30,
"-"
)</f>
        <v>-</v>
      </c>
      <c r="J43" s="1">
        <f t="shared" si="0"/>
        <v>80000</v>
      </c>
      <c r="K43" s="2" t="s">
        <v>164</v>
      </c>
    </row>
    <row r="44" spans="1:11" x14ac:dyDescent="0.3">
      <c r="A44" t="s">
        <v>119</v>
      </c>
      <c r="B44" t="s">
        <v>69</v>
      </c>
      <c r="C44" t="s">
        <v>127</v>
      </c>
      <c r="D44" t="s">
        <v>134</v>
      </c>
      <c r="E44" s="1">
        <v>200000</v>
      </c>
      <c r="F44" cm="1">
        <f t="array" ref="F44">_xlfn.SWITCH(TRUE(),
E44&gt;=160000,5,
E44&gt;=110000,4,
E44&gt;=90000,3,
E44&gt;=60000,2,
1
)</f>
        <v>5</v>
      </c>
      <c r="G44">
        <v>10</v>
      </c>
      <c r="H44" s="2">
        <v>2</v>
      </c>
      <c r="I44" s="2" cm="1">
        <f t="array" ref="I44">_xlfn.SWITCH(TRUE(),
H44=2,20,
H44=1,10,
H44=3,30,
"-"
)</f>
        <v>20</v>
      </c>
      <c r="J44" s="1">
        <f t="shared" si="0"/>
        <v>240000</v>
      </c>
      <c r="K44" s="2" t="s">
        <v>164</v>
      </c>
    </row>
    <row r="45" spans="1:11" x14ac:dyDescent="0.3">
      <c r="A45" t="s">
        <v>120</v>
      </c>
      <c r="B45" t="s">
        <v>70</v>
      </c>
      <c r="C45" t="s">
        <v>127</v>
      </c>
      <c r="D45" t="s">
        <v>136</v>
      </c>
      <c r="E45" s="1">
        <v>80000</v>
      </c>
      <c r="F45" cm="1">
        <f t="array" ref="F45">_xlfn.SWITCH(TRUE(),
E45&gt;=160000,5,
E45&gt;=110000,4,
E45&gt;=90000,3,
E45&gt;=60000,2,
1
)</f>
        <v>2</v>
      </c>
      <c r="G45">
        <v>1</v>
      </c>
      <c r="H45" s="3" t="s">
        <v>137</v>
      </c>
      <c r="I45" s="2" t="str" cm="1">
        <f t="array" ref="I45">_xlfn.SWITCH(TRUE(),
H45=2,20,
H45=1,10,
H45=3,30,
"-"
)</f>
        <v>-</v>
      </c>
      <c r="J45" s="1">
        <f t="shared" si="0"/>
        <v>80000</v>
      </c>
      <c r="K45" s="2" t="s">
        <v>164</v>
      </c>
    </row>
    <row r="46" spans="1:11" x14ac:dyDescent="0.3">
      <c r="A46" t="s">
        <v>121</v>
      </c>
      <c r="B46" t="s">
        <v>71</v>
      </c>
      <c r="C46" t="s">
        <v>127</v>
      </c>
      <c r="D46" t="s">
        <v>129</v>
      </c>
      <c r="E46" s="1">
        <v>50000</v>
      </c>
      <c r="F46" cm="1">
        <f t="array" ref="F46">_xlfn.SWITCH(TRUE(),
E46&gt;=160000,5,
E46&gt;=110000,4,
E46&gt;=90000,3,
E46&gt;=60000,2,
1
)</f>
        <v>1</v>
      </c>
      <c r="G46">
        <v>2</v>
      </c>
      <c r="H46" s="2">
        <v>3</v>
      </c>
      <c r="I46" s="2" cm="1">
        <f t="array" ref="I46">_xlfn.SWITCH(TRUE(),
H46=2,20,
H46=1,10,
H46=3,30,
"-"
)</f>
        <v>30</v>
      </c>
      <c r="J46" s="1">
        <f t="shared" si="0"/>
        <v>65000</v>
      </c>
      <c r="K46" s="2" t="s">
        <v>164</v>
      </c>
    </row>
    <row r="47" spans="1:11" x14ac:dyDescent="0.3">
      <c r="A47" t="s">
        <v>122</v>
      </c>
      <c r="B47" t="s">
        <v>72</v>
      </c>
      <c r="C47" t="s">
        <v>128</v>
      </c>
      <c r="D47" t="s">
        <v>136</v>
      </c>
      <c r="E47" s="1">
        <v>80000</v>
      </c>
      <c r="F47" cm="1">
        <f t="array" ref="F47">_xlfn.SWITCH(TRUE(),
E47&gt;=160000,5,
E47&gt;=110000,4,
E47&gt;=90000,3,
E47&gt;=60000,2,
1
)</f>
        <v>2</v>
      </c>
      <c r="G47">
        <v>3</v>
      </c>
      <c r="H47" s="2">
        <v>3</v>
      </c>
      <c r="I47" s="2" cm="1">
        <f t="array" ref="I47">_xlfn.SWITCH(TRUE(),
H47=2,20,
H47=1,10,
H47=3,30,
"-"
)</f>
        <v>30</v>
      </c>
      <c r="J47" s="1">
        <f t="shared" si="0"/>
        <v>104000</v>
      </c>
      <c r="K47" s="2" t="s">
        <v>164</v>
      </c>
    </row>
    <row r="48" spans="1:11" x14ac:dyDescent="0.3">
      <c r="A48" t="s">
        <v>123</v>
      </c>
      <c r="B48" t="s">
        <v>73</v>
      </c>
      <c r="C48" t="s">
        <v>128</v>
      </c>
      <c r="D48" t="s">
        <v>132</v>
      </c>
      <c r="E48" s="1">
        <v>50000</v>
      </c>
      <c r="F48" cm="1">
        <f t="array" ref="F48">_xlfn.SWITCH(TRUE(),
E48&gt;=160000,5,
E48&gt;=110000,4,
E48&gt;=90000,3,
E48&gt;=60000,2,
1
)</f>
        <v>1</v>
      </c>
      <c r="G48">
        <v>2</v>
      </c>
      <c r="H48" s="2">
        <v>3</v>
      </c>
      <c r="I48" s="2" cm="1">
        <f t="array" ref="I48">_xlfn.SWITCH(TRUE(),
H48=2,20,
H48=1,10,
H48=3,30,
"-"
)</f>
        <v>30</v>
      </c>
      <c r="J48" s="1">
        <f t="shared" si="0"/>
        <v>65000</v>
      </c>
      <c r="K48" s="2" t="s">
        <v>164</v>
      </c>
    </row>
    <row r="49" spans="1:11" x14ac:dyDescent="0.3">
      <c r="A49" t="s">
        <v>124</v>
      </c>
      <c r="B49" t="s">
        <v>74</v>
      </c>
      <c r="C49" t="s">
        <v>128</v>
      </c>
      <c r="D49" t="s">
        <v>131</v>
      </c>
      <c r="E49" s="1">
        <v>60000</v>
      </c>
      <c r="F49" cm="1">
        <f t="array" ref="F49">_xlfn.SWITCH(TRUE(),
E49&gt;=160000,5,
E49&gt;=110000,4,
E49&gt;=90000,3,
E49&gt;=60000,2,
1
)</f>
        <v>2</v>
      </c>
      <c r="G49">
        <v>3</v>
      </c>
      <c r="H49" s="2">
        <v>2</v>
      </c>
      <c r="I49" s="2" cm="1">
        <f t="array" ref="I49">_xlfn.SWITCH(TRUE(),
H49=2,20,
H49=1,10,
H49=3,30,
"-"
)</f>
        <v>20</v>
      </c>
      <c r="J49" s="1">
        <f t="shared" si="0"/>
        <v>72000</v>
      </c>
      <c r="K49" s="2" t="s">
        <v>164</v>
      </c>
    </row>
    <row r="50" spans="1:11" x14ac:dyDescent="0.3">
      <c r="A50" t="s">
        <v>125</v>
      </c>
      <c r="B50" t="s">
        <v>75</v>
      </c>
      <c r="C50" t="s">
        <v>128</v>
      </c>
      <c r="D50" t="s">
        <v>129</v>
      </c>
      <c r="E50" s="1">
        <v>50000</v>
      </c>
      <c r="F50" cm="1">
        <f t="array" ref="F50">_xlfn.SWITCH(TRUE(),
E50&gt;=160000,5,
E50&gt;=110000,4,
E50&gt;=90000,3,
E50&gt;=60000,2,
1
)</f>
        <v>1</v>
      </c>
      <c r="G50">
        <v>2</v>
      </c>
      <c r="H50" s="2">
        <v>1</v>
      </c>
      <c r="I50" s="2" cm="1">
        <f t="array" ref="I50">_xlfn.SWITCH(TRUE(),
H50=2,20,
H50=1,10,
H50=3,30,
"-"
)</f>
        <v>10</v>
      </c>
      <c r="J50" s="1">
        <f t="shared" si="0"/>
        <v>55000</v>
      </c>
      <c r="K50" s="2" t="s">
        <v>165</v>
      </c>
    </row>
    <row r="51" spans="1:11" x14ac:dyDescent="0.3">
      <c r="A51" t="s">
        <v>126</v>
      </c>
      <c r="B51" t="s">
        <v>76</v>
      </c>
      <c r="C51" t="s">
        <v>128</v>
      </c>
      <c r="D51" t="s">
        <v>130</v>
      </c>
      <c r="E51" s="1">
        <v>60000</v>
      </c>
      <c r="F51" cm="1">
        <f t="array" ref="F51">_xlfn.SWITCH(TRUE(),
E51&gt;=160000,5,
E51&gt;=110000,4,
E51&gt;=90000,3,
E51&gt;=60000,2,
1
)</f>
        <v>2</v>
      </c>
      <c r="G51">
        <v>2</v>
      </c>
      <c r="H51" s="3" t="s">
        <v>137</v>
      </c>
      <c r="I51" s="2" t="str" cm="1">
        <f t="array" ref="I51">_xlfn.SWITCH(TRUE(),
H51=2,20,
H51=1,10,
H51=3,30,
"-"
)</f>
        <v>-</v>
      </c>
      <c r="J51" s="1">
        <f t="shared" si="0"/>
        <v>60000</v>
      </c>
      <c r="K51" s="2" t="s">
        <v>164</v>
      </c>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D5D56-5191-4F80-97E6-2F248C32DD9C}">
  <dimension ref="A1:B7"/>
  <sheetViews>
    <sheetView workbookViewId="0">
      <selection activeCell="B5" sqref="B5"/>
    </sheetView>
  </sheetViews>
  <sheetFormatPr defaultRowHeight="14.4" x14ac:dyDescent="0.3"/>
  <cols>
    <col min="1" max="1" width="13.5546875" customWidth="1"/>
    <col min="2" max="2" width="17.109375" customWidth="1"/>
  </cols>
  <sheetData>
    <row r="1" spans="1:2" x14ac:dyDescent="0.3">
      <c r="A1" t="s">
        <v>12</v>
      </c>
      <c r="B1" t="s">
        <v>13</v>
      </c>
    </row>
    <row r="2" spans="1:2" x14ac:dyDescent="0.3">
      <c r="A2" t="s">
        <v>16</v>
      </c>
      <c r="B2" t="s">
        <v>21</v>
      </c>
    </row>
    <row r="3" spans="1:2" x14ac:dyDescent="0.3">
      <c r="A3" t="s">
        <v>17</v>
      </c>
      <c r="B3" t="s">
        <v>22</v>
      </c>
    </row>
    <row r="4" spans="1:2" x14ac:dyDescent="0.3">
      <c r="A4" t="s">
        <v>186</v>
      </c>
      <c r="B4" t="s">
        <v>23</v>
      </c>
    </row>
    <row r="5" spans="1:2" x14ac:dyDescent="0.3">
      <c r="A5" t="s">
        <v>18</v>
      </c>
      <c r="B5" t="s">
        <v>24</v>
      </c>
    </row>
    <row r="6" spans="1:2" x14ac:dyDescent="0.3">
      <c r="A6" t="s">
        <v>19</v>
      </c>
      <c r="B6" t="s">
        <v>25</v>
      </c>
    </row>
    <row r="7" spans="1:2" x14ac:dyDescent="0.3">
      <c r="A7" t="s">
        <v>20</v>
      </c>
      <c r="B7" t="s">
        <v>26</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82DE27-DF11-4077-8AB1-B8F74D7DAEA4}">
  <dimension ref="A1:B13"/>
  <sheetViews>
    <sheetView workbookViewId="0">
      <selection activeCell="B5" sqref="B5"/>
    </sheetView>
  </sheetViews>
  <sheetFormatPr defaultRowHeight="14.4" x14ac:dyDescent="0.3"/>
  <cols>
    <col min="1" max="1" width="11.5546875" customWidth="1"/>
    <col min="2" max="2" width="24.6640625" customWidth="1"/>
  </cols>
  <sheetData>
    <row r="1" spans="1:2" x14ac:dyDescent="0.3">
      <c r="A1" t="s">
        <v>15</v>
      </c>
      <c r="B1" t="s">
        <v>162</v>
      </c>
    </row>
    <row r="2" spans="1:2" x14ac:dyDescent="0.3">
      <c r="A2" s="4" t="s">
        <v>138</v>
      </c>
      <c r="B2" s="4" t="s">
        <v>139</v>
      </c>
    </row>
    <row r="3" spans="1:2" x14ac:dyDescent="0.3">
      <c r="A3" s="4" t="s">
        <v>140</v>
      </c>
      <c r="B3" s="4" t="s">
        <v>141</v>
      </c>
    </row>
    <row r="4" spans="1:2" x14ac:dyDescent="0.3">
      <c r="A4" s="4" t="s">
        <v>142</v>
      </c>
      <c r="B4" s="4" t="s">
        <v>143</v>
      </c>
    </row>
    <row r="5" spans="1:2" x14ac:dyDescent="0.3">
      <c r="A5" s="4" t="s">
        <v>144</v>
      </c>
      <c r="B5" s="4" t="s">
        <v>145</v>
      </c>
    </row>
    <row r="6" spans="1:2" x14ac:dyDescent="0.3">
      <c r="A6" s="4" t="s">
        <v>146</v>
      </c>
      <c r="B6" s="4" t="s">
        <v>147</v>
      </c>
    </row>
    <row r="7" spans="1:2" x14ac:dyDescent="0.3">
      <c r="A7" s="4" t="s">
        <v>148</v>
      </c>
      <c r="B7" s="4" t="s">
        <v>149</v>
      </c>
    </row>
    <row r="8" spans="1:2" x14ac:dyDescent="0.3">
      <c r="A8" s="4" t="s">
        <v>150</v>
      </c>
      <c r="B8" s="4" t="s">
        <v>151</v>
      </c>
    </row>
    <row r="9" spans="1:2" x14ac:dyDescent="0.3">
      <c r="A9" s="4" t="s">
        <v>152</v>
      </c>
      <c r="B9" s="4" t="s">
        <v>153</v>
      </c>
    </row>
    <row r="10" spans="1:2" x14ac:dyDescent="0.3">
      <c r="A10" s="4" t="s">
        <v>154</v>
      </c>
      <c r="B10" s="4" t="s">
        <v>155</v>
      </c>
    </row>
    <row r="11" spans="1:2" x14ac:dyDescent="0.3">
      <c r="A11" s="4" t="s">
        <v>156</v>
      </c>
      <c r="B11" s="4" t="s">
        <v>157</v>
      </c>
    </row>
    <row r="12" spans="1:2" x14ac:dyDescent="0.3">
      <c r="A12" s="4" t="s">
        <v>158</v>
      </c>
      <c r="B12" s="4" t="s">
        <v>159</v>
      </c>
    </row>
    <row r="13" spans="1:2" x14ac:dyDescent="0.3">
      <c r="A13" s="4" t="s">
        <v>160</v>
      </c>
      <c r="B13" s="4" t="s">
        <v>161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CD3B3E-B56E-486D-A9BA-FB21BEE341B5}">
  <dimension ref="A1:C50"/>
  <sheetViews>
    <sheetView workbookViewId="0">
      <selection activeCell="B6" sqref="B6"/>
    </sheetView>
  </sheetViews>
  <sheetFormatPr defaultRowHeight="14.4" x14ac:dyDescent="0.3"/>
  <sheetData>
    <row r="1" spans="1:3" x14ac:dyDescent="0.3">
      <c r="A1" t="str" cm="1">
        <f t="array" ref="A1:B4">_xlfn._xlws.FILTER(Main!A1:B51,Main!B1:B51="D001")</f>
        <v>E026</v>
      </c>
      <c r="B1" t="str">
        <v>D001</v>
      </c>
      <c r="C1" s="4" t="s">
        <v>138</v>
      </c>
    </row>
    <row r="2" spans="1:3" x14ac:dyDescent="0.3">
      <c r="A2" t="str">
        <v>E028</v>
      </c>
      <c r="B2" t="str">
        <v>D001</v>
      </c>
      <c r="C2" s="4" t="s">
        <v>140</v>
      </c>
    </row>
    <row r="3" spans="1:3" x14ac:dyDescent="0.3">
      <c r="A3" t="str">
        <v>E041</v>
      </c>
      <c r="B3" t="str">
        <v>D001</v>
      </c>
      <c r="C3" s="4" t="s">
        <v>140</v>
      </c>
    </row>
    <row r="4" spans="1:3" x14ac:dyDescent="0.3">
      <c r="A4" t="str">
        <v>E042</v>
      </c>
      <c r="B4" t="str">
        <v>D001</v>
      </c>
      <c r="C4" s="4" t="s">
        <v>138</v>
      </c>
    </row>
    <row r="5" spans="1:3" x14ac:dyDescent="0.3">
      <c r="A5" t="str" cm="1">
        <f t="array" ref="A5:B12">_xlfn._xlws.FILTER(Main!A1:B51,Main!B1:B51="D002")</f>
        <v>E001</v>
      </c>
      <c r="B5" t="str">
        <v>D002</v>
      </c>
      <c r="C5" s="4" t="s">
        <v>142</v>
      </c>
    </row>
    <row r="6" spans="1:3" x14ac:dyDescent="0.3">
      <c r="A6" t="str">
        <v>E007</v>
      </c>
      <c r="B6" t="str">
        <v>D002</v>
      </c>
      <c r="C6" s="4" t="s">
        <v>144</v>
      </c>
    </row>
    <row r="7" spans="1:3" x14ac:dyDescent="0.3">
      <c r="A7" t="str">
        <v>E012</v>
      </c>
      <c r="B7" t="str">
        <v>D002</v>
      </c>
      <c r="C7" s="4" t="s">
        <v>142</v>
      </c>
    </row>
    <row r="8" spans="1:3" x14ac:dyDescent="0.3">
      <c r="A8" t="str">
        <v>E013</v>
      </c>
      <c r="B8" t="str">
        <v>D002</v>
      </c>
      <c r="C8" s="4" t="s">
        <v>144</v>
      </c>
    </row>
    <row r="9" spans="1:3" x14ac:dyDescent="0.3">
      <c r="A9" t="str">
        <v>E016</v>
      </c>
      <c r="B9" t="str">
        <v>D002</v>
      </c>
      <c r="C9" s="4" t="s">
        <v>142</v>
      </c>
    </row>
    <row r="10" spans="1:3" x14ac:dyDescent="0.3">
      <c r="A10" t="str">
        <v>E020</v>
      </c>
      <c r="B10" t="str">
        <v>D002</v>
      </c>
      <c r="C10" s="4" t="s">
        <v>142</v>
      </c>
    </row>
    <row r="11" spans="1:3" x14ac:dyDescent="0.3">
      <c r="A11" t="str">
        <v>E031</v>
      </c>
      <c r="B11" t="str">
        <v>D002</v>
      </c>
      <c r="C11" s="4" t="s">
        <v>144</v>
      </c>
    </row>
    <row r="12" spans="1:3" x14ac:dyDescent="0.3">
      <c r="A12" t="str">
        <v>E035</v>
      </c>
      <c r="B12" t="str">
        <v>D002</v>
      </c>
      <c r="C12" s="4" t="s">
        <v>144</v>
      </c>
    </row>
    <row r="13" spans="1:3" x14ac:dyDescent="0.3">
      <c r="A13" t="str" cm="1">
        <f t="array" ref="A13:B22">_xlfn._xlws.FILTER(Main!A1:B51,Main!B1:B51="D003")</f>
        <v>E002</v>
      </c>
      <c r="B13" t="str">
        <v>D003</v>
      </c>
      <c r="C13" s="4" t="s">
        <v>150</v>
      </c>
    </row>
    <row r="14" spans="1:3" x14ac:dyDescent="0.3">
      <c r="A14" t="str">
        <v>E004</v>
      </c>
      <c r="B14" t="str">
        <v>D003</v>
      </c>
      <c r="C14" s="4" t="s">
        <v>152</v>
      </c>
    </row>
    <row r="15" spans="1:3" x14ac:dyDescent="0.3">
      <c r="A15" t="str">
        <v>E011</v>
      </c>
      <c r="B15" t="str">
        <v>D003</v>
      </c>
      <c r="C15" s="4" t="s">
        <v>150</v>
      </c>
    </row>
    <row r="16" spans="1:3" x14ac:dyDescent="0.3">
      <c r="A16" t="str">
        <v>E030</v>
      </c>
      <c r="B16" t="str">
        <v>D003</v>
      </c>
      <c r="C16" s="4" t="s">
        <v>152</v>
      </c>
    </row>
    <row r="17" spans="1:3" x14ac:dyDescent="0.3">
      <c r="A17" t="str">
        <v>E037</v>
      </c>
      <c r="B17" t="str">
        <v>D003</v>
      </c>
      <c r="C17" s="4" t="s">
        <v>150</v>
      </c>
    </row>
    <row r="18" spans="1:3" x14ac:dyDescent="0.3">
      <c r="A18" t="str">
        <v>E040</v>
      </c>
      <c r="B18" t="str">
        <v>D003</v>
      </c>
      <c r="C18" s="4" t="s">
        <v>152</v>
      </c>
    </row>
    <row r="19" spans="1:3" x14ac:dyDescent="0.3">
      <c r="A19" t="str">
        <v>E044</v>
      </c>
      <c r="B19" t="str">
        <v>D003</v>
      </c>
      <c r="C19" s="4" t="s">
        <v>150</v>
      </c>
    </row>
    <row r="20" spans="1:3" x14ac:dyDescent="0.3">
      <c r="A20" t="str">
        <v>E046</v>
      </c>
      <c r="B20" t="str">
        <v>D003</v>
      </c>
      <c r="C20" s="4" t="s">
        <v>152</v>
      </c>
    </row>
    <row r="21" spans="1:3" x14ac:dyDescent="0.3">
      <c r="A21" t="str">
        <v>E047</v>
      </c>
      <c r="B21" t="str">
        <v>D003</v>
      </c>
      <c r="C21" s="4" t="s">
        <v>150</v>
      </c>
    </row>
    <row r="22" spans="1:3" x14ac:dyDescent="0.3">
      <c r="A22" t="str">
        <v>E049</v>
      </c>
      <c r="B22" t="str">
        <v>D003</v>
      </c>
      <c r="C22" s="4" t="s">
        <v>152</v>
      </c>
    </row>
    <row r="23" spans="1:3" x14ac:dyDescent="0.3">
      <c r="A23" t="str" cm="1">
        <f t="array" ref="A23:B31">_xlfn._xlws.FILTER(Main!A1:B51,Main!B1:B51="D004")</f>
        <v>E003</v>
      </c>
      <c r="B23" t="str">
        <v>D004</v>
      </c>
      <c r="C23" s="4" t="s">
        <v>154</v>
      </c>
    </row>
    <row r="24" spans="1:3" x14ac:dyDescent="0.3">
      <c r="A24" t="str">
        <v>E014</v>
      </c>
      <c r="B24" t="str">
        <v>D004</v>
      </c>
      <c r="C24" s="4" t="s">
        <v>156</v>
      </c>
    </row>
    <row r="25" spans="1:3" x14ac:dyDescent="0.3">
      <c r="A25" t="str">
        <v>E019</v>
      </c>
      <c r="B25" t="str">
        <v>D004</v>
      </c>
      <c r="C25" s="4" t="s">
        <v>154</v>
      </c>
    </row>
    <row r="26" spans="1:3" x14ac:dyDescent="0.3">
      <c r="A26" t="str">
        <v>E021</v>
      </c>
      <c r="B26" t="str">
        <v>D004</v>
      </c>
      <c r="C26" s="4" t="s">
        <v>156</v>
      </c>
    </row>
    <row r="27" spans="1:3" x14ac:dyDescent="0.3">
      <c r="A27" t="str">
        <v>E022</v>
      </c>
      <c r="B27" t="str">
        <v>D004</v>
      </c>
      <c r="C27" s="4" t="s">
        <v>154</v>
      </c>
    </row>
    <row r="28" spans="1:3" x14ac:dyDescent="0.3">
      <c r="A28" t="str">
        <v>E027</v>
      </c>
      <c r="B28" t="str">
        <v>D004</v>
      </c>
      <c r="C28" s="4" t="s">
        <v>156</v>
      </c>
    </row>
    <row r="29" spans="1:3" x14ac:dyDescent="0.3">
      <c r="A29" t="str">
        <v>E032</v>
      </c>
      <c r="B29" t="str">
        <v>D004</v>
      </c>
      <c r="C29" s="4" t="s">
        <v>154</v>
      </c>
    </row>
    <row r="30" spans="1:3" x14ac:dyDescent="0.3">
      <c r="A30" t="str">
        <v>E033</v>
      </c>
      <c r="B30" t="str">
        <v>D004</v>
      </c>
      <c r="C30" s="4" t="s">
        <v>156</v>
      </c>
    </row>
    <row r="31" spans="1:3" x14ac:dyDescent="0.3">
      <c r="A31" t="str">
        <v>E039</v>
      </c>
      <c r="B31" t="str">
        <v>D004</v>
      </c>
      <c r="C31" s="4" t="s">
        <v>154</v>
      </c>
    </row>
    <row r="32" spans="1:3" x14ac:dyDescent="0.3">
      <c r="A32" t="str" cm="1">
        <f t="array" ref="A32:B38">_xlfn._xlws.FILTER(Main!A1:B51,Main!B1:B51="D005")</f>
        <v>E006</v>
      </c>
      <c r="B32" t="str">
        <v>D005</v>
      </c>
      <c r="C32" s="4" t="s">
        <v>146</v>
      </c>
    </row>
    <row r="33" spans="1:3" x14ac:dyDescent="0.3">
      <c r="A33" t="str">
        <v>E008</v>
      </c>
      <c r="B33" t="str">
        <v>D005</v>
      </c>
      <c r="C33" s="4" t="s">
        <v>148</v>
      </c>
    </row>
    <row r="34" spans="1:3" x14ac:dyDescent="0.3">
      <c r="A34" t="str">
        <v>E017</v>
      </c>
      <c r="B34" t="str">
        <v>D005</v>
      </c>
      <c r="C34" s="4" t="s">
        <v>146</v>
      </c>
    </row>
    <row r="35" spans="1:3" x14ac:dyDescent="0.3">
      <c r="A35" t="str">
        <v>E018</v>
      </c>
      <c r="B35" t="str">
        <v>D005</v>
      </c>
      <c r="C35" s="4" t="s">
        <v>148</v>
      </c>
    </row>
    <row r="36" spans="1:3" x14ac:dyDescent="0.3">
      <c r="A36" t="str">
        <v>E024</v>
      </c>
      <c r="B36" t="str">
        <v>D005</v>
      </c>
      <c r="C36" s="4" t="s">
        <v>146</v>
      </c>
    </row>
    <row r="37" spans="1:3" x14ac:dyDescent="0.3">
      <c r="A37" t="str">
        <v>E034</v>
      </c>
      <c r="B37" t="str">
        <v>D005</v>
      </c>
      <c r="C37" s="4" t="s">
        <v>148</v>
      </c>
    </row>
    <row r="38" spans="1:3" x14ac:dyDescent="0.3">
      <c r="A38" t="str">
        <v>E048</v>
      </c>
      <c r="B38" t="str">
        <v>D005</v>
      </c>
      <c r="C38" s="4" t="s">
        <v>146</v>
      </c>
    </row>
    <row r="39" spans="1:3" x14ac:dyDescent="0.3">
      <c r="A39" t="str" cm="1">
        <f t="array" ref="A39:B50">_xlfn._xlws.FILTER(Main!A1:B51,Main!B1:B51="D006")</f>
        <v>E005</v>
      </c>
      <c r="B39" t="str">
        <v>D006</v>
      </c>
      <c r="C39" s="4" t="s">
        <v>158</v>
      </c>
    </row>
    <row r="40" spans="1:3" x14ac:dyDescent="0.3">
      <c r="A40" t="str">
        <v>E009</v>
      </c>
      <c r="B40" t="str">
        <v>D006</v>
      </c>
      <c r="C40" s="4" t="s">
        <v>158</v>
      </c>
    </row>
    <row r="41" spans="1:3" x14ac:dyDescent="0.3">
      <c r="A41" t="str">
        <v>E010</v>
      </c>
      <c r="B41" t="str">
        <v>D006</v>
      </c>
      <c r="C41" s="4" t="s">
        <v>158</v>
      </c>
    </row>
    <row r="42" spans="1:3" x14ac:dyDescent="0.3">
      <c r="A42" t="str">
        <v>E015</v>
      </c>
      <c r="B42" t="str">
        <v>D006</v>
      </c>
      <c r="C42" s="4" t="s">
        <v>158</v>
      </c>
    </row>
    <row r="43" spans="1:3" x14ac:dyDescent="0.3">
      <c r="A43" t="str">
        <v>E023</v>
      </c>
      <c r="B43" t="str">
        <v>D006</v>
      </c>
      <c r="C43" s="4" t="s">
        <v>158</v>
      </c>
    </row>
    <row r="44" spans="1:3" x14ac:dyDescent="0.3">
      <c r="A44" t="str">
        <v>E025</v>
      </c>
      <c r="B44" t="str">
        <v>D006</v>
      </c>
      <c r="C44" s="4" t="s">
        <v>160</v>
      </c>
    </row>
    <row r="45" spans="1:3" x14ac:dyDescent="0.3">
      <c r="A45" t="str">
        <v>E029</v>
      </c>
      <c r="B45" t="str">
        <v>D006</v>
      </c>
      <c r="C45" s="4" t="s">
        <v>158</v>
      </c>
    </row>
    <row r="46" spans="1:3" x14ac:dyDescent="0.3">
      <c r="A46" t="str">
        <v>E036</v>
      </c>
      <c r="B46" t="str">
        <v>D006</v>
      </c>
      <c r="C46" s="4" t="s">
        <v>160</v>
      </c>
    </row>
    <row r="47" spans="1:3" x14ac:dyDescent="0.3">
      <c r="A47" t="str">
        <v>E038</v>
      </c>
      <c r="B47" t="str">
        <v>D006</v>
      </c>
      <c r="C47" s="4" t="s">
        <v>158</v>
      </c>
    </row>
    <row r="48" spans="1:3" x14ac:dyDescent="0.3">
      <c r="A48" t="str">
        <v>E043</v>
      </c>
      <c r="B48" t="str">
        <v>D006</v>
      </c>
      <c r="C48" s="4" t="s">
        <v>158</v>
      </c>
    </row>
    <row r="49" spans="1:3" x14ac:dyDescent="0.3">
      <c r="A49" t="str">
        <v>E045</v>
      </c>
      <c r="B49" t="str">
        <v>D006</v>
      </c>
      <c r="C49" s="4" t="s">
        <v>158</v>
      </c>
    </row>
    <row r="50" spans="1:3" x14ac:dyDescent="0.3">
      <c r="A50" t="str">
        <v>E050</v>
      </c>
      <c r="B50" t="str">
        <v>D006</v>
      </c>
      <c r="C50" s="4" t="s">
        <v>160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C3AC2-F661-41CD-AAE1-BE291A2A898B}">
  <dimension ref="A1:H23"/>
  <sheetViews>
    <sheetView zoomScale="80" zoomScaleNormal="80" workbookViewId="0">
      <selection activeCell="E9" sqref="E9"/>
    </sheetView>
  </sheetViews>
  <sheetFormatPr defaultRowHeight="14.4" x14ac:dyDescent="0.3"/>
  <cols>
    <col min="1" max="1" width="13.33203125" bestFit="1" customWidth="1"/>
    <col min="2" max="2" width="14" bestFit="1" customWidth="1"/>
    <col min="4" max="4" width="13.33203125" bestFit="1" customWidth="1"/>
    <col min="5" max="5" width="16.21875" bestFit="1" customWidth="1"/>
    <col min="7" max="7" width="19.5546875" bestFit="1" customWidth="1"/>
    <col min="8" max="8" width="19.6640625" bestFit="1" customWidth="1"/>
    <col min="9" max="9" width="11.6640625" bestFit="1" customWidth="1"/>
    <col min="10" max="10" width="15.109375" bestFit="1" customWidth="1"/>
    <col min="11" max="11" width="15.5546875" bestFit="1" customWidth="1"/>
    <col min="12" max="12" width="12.109375" bestFit="1" customWidth="1"/>
    <col min="13" max="13" width="18.88671875" bestFit="1" customWidth="1"/>
    <col min="14" max="14" width="19.5546875" bestFit="1" customWidth="1"/>
    <col min="15" max="15" width="18.88671875" bestFit="1" customWidth="1"/>
    <col min="17" max="17" width="14.33203125" bestFit="1" customWidth="1"/>
    <col min="18" max="18" width="13.5546875" bestFit="1" customWidth="1"/>
    <col min="19" max="19" width="17.109375" bestFit="1" customWidth="1"/>
    <col min="20" max="20" width="11" bestFit="1" customWidth="1"/>
  </cols>
  <sheetData>
    <row r="1" spans="1:8" x14ac:dyDescent="0.3">
      <c r="A1" s="5" t="s">
        <v>170</v>
      </c>
      <c r="B1" t="s">
        <v>172</v>
      </c>
      <c r="D1" s="5" t="s">
        <v>170</v>
      </c>
      <c r="E1" t="s">
        <v>172</v>
      </c>
    </row>
    <row r="2" spans="1:8" x14ac:dyDescent="0.3">
      <c r="A2" s="6" t="s">
        <v>128</v>
      </c>
      <c r="B2" s="9">
        <v>26</v>
      </c>
      <c r="D2" s="6" t="s">
        <v>165</v>
      </c>
      <c r="E2" s="9">
        <v>13</v>
      </c>
      <c r="G2" s="5" t="s">
        <v>170</v>
      </c>
      <c r="H2" t="s">
        <v>172</v>
      </c>
    </row>
    <row r="3" spans="1:8" x14ac:dyDescent="0.3">
      <c r="A3" s="6" t="s">
        <v>127</v>
      </c>
      <c r="B3" s="9">
        <v>24</v>
      </c>
      <c r="D3" s="6" t="s">
        <v>164</v>
      </c>
      <c r="E3" s="9">
        <v>37</v>
      </c>
      <c r="G3" s="6" t="s">
        <v>159</v>
      </c>
      <c r="H3" s="9">
        <v>9</v>
      </c>
    </row>
    <row r="4" spans="1:8" x14ac:dyDescent="0.3">
      <c r="A4" s="6" t="s">
        <v>171</v>
      </c>
      <c r="B4" s="9">
        <v>50</v>
      </c>
      <c r="D4" s="6" t="s">
        <v>171</v>
      </c>
      <c r="E4" s="9">
        <v>50</v>
      </c>
      <c r="G4" s="6" t="s">
        <v>151</v>
      </c>
      <c r="H4" s="9">
        <v>5</v>
      </c>
    </row>
    <row r="5" spans="1:8" x14ac:dyDescent="0.3">
      <c r="G5" s="6" t="s">
        <v>153</v>
      </c>
      <c r="H5" s="9">
        <v>5</v>
      </c>
    </row>
    <row r="6" spans="1:8" x14ac:dyDescent="0.3">
      <c r="A6" s="5" t="s">
        <v>170</v>
      </c>
      <c r="B6" t="s">
        <v>174</v>
      </c>
      <c r="G6" s="6" t="s">
        <v>143</v>
      </c>
      <c r="H6" s="9">
        <v>5</v>
      </c>
    </row>
    <row r="7" spans="1:8" x14ac:dyDescent="0.3">
      <c r="A7" s="6" t="s">
        <v>18</v>
      </c>
      <c r="B7" s="9">
        <v>3</v>
      </c>
      <c r="D7" s="5" t="s">
        <v>170</v>
      </c>
      <c r="E7" t="s">
        <v>173</v>
      </c>
      <c r="G7" s="6" t="s">
        <v>155</v>
      </c>
      <c r="H7" s="9">
        <v>5</v>
      </c>
    </row>
    <row r="8" spans="1:8" x14ac:dyDescent="0.3">
      <c r="A8" s="6" t="s">
        <v>20</v>
      </c>
      <c r="B8" s="9">
        <v>3</v>
      </c>
      <c r="D8" s="6" t="s">
        <v>166</v>
      </c>
      <c r="E8" s="8">
        <v>0.2</v>
      </c>
      <c r="G8" s="6" t="s">
        <v>145</v>
      </c>
      <c r="H8" s="9">
        <v>4</v>
      </c>
    </row>
    <row r="9" spans="1:8" x14ac:dyDescent="0.3">
      <c r="A9" s="6" t="s">
        <v>186</v>
      </c>
      <c r="B9" s="9">
        <v>1</v>
      </c>
      <c r="D9" s="6" t="s">
        <v>167</v>
      </c>
      <c r="E9" s="8">
        <v>0.8</v>
      </c>
      <c r="G9" s="6" t="s">
        <v>147</v>
      </c>
      <c r="H9" s="9">
        <v>4</v>
      </c>
    </row>
    <row r="10" spans="1:8" x14ac:dyDescent="0.3">
      <c r="A10" s="6" t="s">
        <v>16</v>
      </c>
      <c r="B10" s="9">
        <v>1</v>
      </c>
      <c r="D10" s="6" t="s">
        <v>171</v>
      </c>
      <c r="E10" s="8">
        <v>1</v>
      </c>
      <c r="G10" s="6" t="s">
        <v>157</v>
      </c>
      <c r="H10" s="9">
        <v>4</v>
      </c>
    </row>
    <row r="11" spans="1:8" x14ac:dyDescent="0.3">
      <c r="A11" s="6" t="s">
        <v>17</v>
      </c>
      <c r="B11" s="9">
        <v>1</v>
      </c>
      <c r="G11" s="6" t="s">
        <v>161</v>
      </c>
      <c r="H11" s="9">
        <v>3</v>
      </c>
    </row>
    <row r="12" spans="1:8" x14ac:dyDescent="0.3">
      <c r="A12" s="6" t="s">
        <v>19</v>
      </c>
      <c r="B12" s="9">
        <v>1</v>
      </c>
      <c r="G12" s="6" t="s">
        <v>139</v>
      </c>
      <c r="H12" s="9">
        <v>2</v>
      </c>
    </row>
    <row r="13" spans="1:8" x14ac:dyDescent="0.3">
      <c r="A13" s="6" t="s">
        <v>171</v>
      </c>
      <c r="B13" s="9">
        <v>10</v>
      </c>
      <c r="D13" t="s">
        <v>176</v>
      </c>
      <c r="E13" t="s">
        <v>175</v>
      </c>
      <c r="G13" s="6" t="s">
        <v>149</v>
      </c>
      <c r="H13" s="9">
        <v>2</v>
      </c>
    </row>
    <row r="14" spans="1:8" x14ac:dyDescent="0.3">
      <c r="D14" s="10">
        <v>89200</v>
      </c>
      <c r="E14" s="9">
        <v>2.68</v>
      </c>
      <c r="G14" s="6" t="s">
        <v>141</v>
      </c>
      <c r="H14" s="9">
        <v>2</v>
      </c>
    </row>
    <row r="15" spans="1:8" x14ac:dyDescent="0.3">
      <c r="G15" s="6" t="s">
        <v>171</v>
      </c>
      <c r="H15" s="9">
        <v>50</v>
      </c>
    </row>
    <row r="16" spans="1:8" x14ac:dyDescent="0.3">
      <c r="A16" s="5" t="s">
        <v>170</v>
      </c>
      <c r="B16" t="s">
        <v>172</v>
      </c>
      <c r="D16" t="s">
        <v>172</v>
      </c>
      <c r="E16" t="s">
        <v>174</v>
      </c>
    </row>
    <row r="17" spans="1:7" x14ac:dyDescent="0.3">
      <c r="A17" s="6" t="s">
        <v>20</v>
      </c>
      <c r="B17" s="9">
        <v>12</v>
      </c>
      <c r="D17" s="9">
        <v>50</v>
      </c>
      <c r="E17" s="9">
        <v>10</v>
      </c>
    </row>
    <row r="18" spans="1:7" x14ac:dyDescent="0.3">
      <c r="A18" s="6" t="s">
        <v>186</v>
      </c>
      <c r="B18" s="9">
        <v>10</v>
      </c>
      <c r="G18" t="s">
        <v>177</v>
      </c>
    </row>
    <row r="19" spans="1:7" x14ac:dyDescent="0.3">
      <c r="A19" s="6" t="s">
        <v>18</v>
      </c>
      <c r="B19" s="9">
        <v>9</v>
      </c>
      <c r="D19" t="s">
        <v>183</v>
      </c>
      <c r="G19" s="9">
        <v>50</v>
      </c>
    </row>
    <row r="20" spans="1:7" x14ac:dyDescent="0.3">
      <c r="A20" s="6" t="s">
        <v>17</v>
      </c>
      <c r="B20" s="9">
        <v>8</v>
      </c>
      <c r="D20" s="7">
        <v>4.28</v>
      </c>
    </row>
    <row r="21" spans="1:7" x14ac:dyDescent="0.3">
      <c r="A21" s="6" t="s">
        <v>19</v>
      </c>
      <c r="B21" s="9">
        <v>7</v>
      </c>
    </row>
    <row r="22" spans="1:7" x14ac:dyDescent="0.3">
      <c r="A22" s="6" t="s">
        <v>16</v>
      </c>
      <c r="B22" s="9">
        <v>4</v>
      </c>
    </row>
    <row r="23" spans="1:7" x14ac:dyDescent="0.3">
      <c r="A23" s="6" t="s">
        <v>171</v>
      </c>
      <c r="B23" s="9">
        <v>50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41818-52F2-4CDB-AD5A-52630B38618A}">
  <dimension ref="A1:B12"/>
  <sheetViews>
    <sheetView workbookViewId="0">
      <selection activeCell="A4" sqref="A4:B4"/>
    </sheetView>
  </sheetViews>
  <sheetFormatPr defaultRowHeight="14.4" x14ac:dyDescent="0.3"/>
  <cols>
    <col min="1" max="1" width="41.6640625" bestFit="1" customWidth="1"/>
    <col min="2" max="2" width="19.21875" customWidth="1"/>
  </cols>
  <sheetData>
    <row r="1" spans="1:2" x14ac:dyDescent="0.3">
      <c r="A1" t="s">
        <v>178</v>
      </c>
    </row>
    <row r="3" spans="1:2" x14ac:dyDescent="0.3">
      <c r="A3" t="str">
        <f>pivot!D13</f>
        <v>Avg.Salary</v>
      </c>
      <c r="B3" s="1">
        <f>pivot!D14</f>
        <v>89200</v>
      </c>
    </row>
    <row r="4" spans="1:2" x14ac:dyDescent="0.3">
      <c r="A4" t="str">
        <f>pivot!D16</f>
        <v>Count of Employee id</v>
      </c>
      <c r="B4">
        <f>pivot!D17</f>
        <v>50</v>
      </c>
    </row>
    <row r="5" spans="1:2" x14ac:dyDescent="0.3">
      <c r="A5" t="str">
        <f>pivot!E13</f>
        <v>AVG. Rating</v>
      </c>
      <c r="B5" s="7">
        <f>pivot!E14</f>
        <v>2.68</v>
      </c>
    </row>
    <row r="6" spans="1:2" x14ac:dyDescent="0.3">
      <c r="A6" t="str">
        <f>pivot!G18</f>
        <v>No of employee</v>
      </c>
      <c r="B6">
        <f>pivot!G19</f>
        <v>50</v>
      </c>
    </row>
    <row r="7" spans="1:2" x14ac:dyDescent="0.3">
      <c r="A7" t="s">
        <v>184</v>
      </c>
      <c r="B7" s="7">
        <f>pivot!D20</f>
        <v>4.28</v>
      </c>
    </row>
    <row r="9" spans="1:2" x14ac:dyDescent="0.3">
      <c r="A9" t="s">
        <v>179</v>
      </c>
    </row>
    <row r="10" spans="1:2" x14ac:dyDescent="0.3">
      <c r="A10" t="s">
        <v>180</v>
      </c>
    </row>
    <row r="11" spans="1:2" x14ac:dyDescent="0.3">
      <c r="A11" t="s">
        <v>181</v>
      </c>
    </row>
    <row r="12" spans="1:2" x14ac:dyDescent="0.3">
      <c r="A12" t="s">
        <v>182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0EF62E-5D1B-416D-9B34-F31506CF7427}">
  <sheetPr>
    <pageSetUpPr fitToPage="1"/>
  </sheetPr>
  <dimension ref="AC21"/>
  <sheetViews>
    <sheetView showGridLines="0" tabSelected="1" zoomScale="50" zoomScaleNormal="50" workbookViewId="0">
      <selection activeCell="AK38" sqref="AK38"/>
    </sheetView>
  </sheetViews>
  <sheetFormatPr defaultRowHeight="14.4" x14ac:dyDescent="0.3"/>
  <sheetData>
    <row r="21" spans="29:29" x14ac:dyDescent="0.3">
      <c r="AC21" t="s">
        <v>185</v>
      </c>
    </row>
  </sheetData>
  <pageMargins left="0.25" right="0.25" top="0.75" bottom="0.75" header="0.3" footer="0.3"/>
  <pageSetup paperSize="3" scale="65" orientation="landscape"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Props1.xml><?xml version="1.0" encoding="utf-8"?>
<ds:datastoreItem xmlns:ds="http://schemas.openxmlformats.org/officeDocument/2006/customXml" ds:itemID="{5691DCE9-35FC-4F2E-AC87-266A17AA2867}">
  <ds:schemaRefs/>
</ds:datastoreItem>
</file>

<file path=customXml/itemProps2.xml><?xml version="1.0" encoding="utf-8"?>
<ds:datastoreItem xmlns:ds="http://schemas.openxmlformats.org/officeDocument/2006/customXml" ds:itemID="{ADB95BF9-2490-483C-92BD-E384FD277ADA}">
  <ds:schemaRefs/>
</ds:datastoreItem>
</file>

<file path=customXml/itemProps3.xml><?xml version="1.0" encoding="utf-8"?>
<ds:datastoreItem xmlns:ds="http://schemas.openxmlformats.org/officeDocument/2006/customXml" ds:itemID="{219DD7BF-F545-4E11-8143-D8AA35C6564F}">
  <ds:schemaRefs/>
</ds:datastoreItem>
</file>

<file path=customXml/itemProps4.xml><?xml version="1.0" encoding="utf-8"?>
<ds:datastoreItem xmlns:ds="http://schemas.openxmlformats.org/officeDocument/2006/customXml" ds:itemID="{8F9B9972-9C49-4060-AD5C-68D4D441CE0B}">
  <ds:schemaRefs/>
</ds:datastoreItem>
</file>

<file path=customXml/itemProps5.xml><?xml version="1.0" encoding="utf-8"?>
<ds:datastoreItem xmlns:ds="http://schemas.openxmlformats.org/officeDocument/2006/customXml" ds:itemID="{8FE324BC-80FC-41F5-BBBE-A989A72CD59F}">
  <ds:schemaRefs/>
</ds:datastoreItem>
</file>

<file path=customXml/itemProps6.xml><?xml version="1.0" encoding="utf-8"?>
<ds:datastoreItem xmlns:ds="http://schemas.openxmlformats.org/officeDocument/2006/customXml" ds:itemID="{0CC199ED-5710-4660-8735-4129589C3600}">
  <ds:schemaRefs/>
</ds:datastoreItem>
</file>

<file path=customXml/itemProps7.xml><?xml version="1.0" encoding="utf-8"?>
<ds:datastoreItem xmlns:ds="http://schemas.openxmlformats.org/officeDocument/2006/customXml" ds:itemID="{46027278-DC27-4207-BB77-CDAEFE46CEEF}">
  <ds:schemaRefs/>
</ds:datastoreItem>
</file>

<file path=customXml/itemProps8.xml><?xml version="1.0" encoding="utf-8"?>
<ds:datastoreItem xmlns:ds="http://schemas.openxmlformats.org/officeDocument/2006/customXml" ds:itemID="{82A27D52-6B68-4767-9534-A36A752F35DC}">
  <ds:schemaRefs/>
</ds:datastoreItem>
</file>

<file path=customXml/itemProps9.xml><?xml version="1.0" encoding="utf-8"?>
<ds:datastoreItem xmlns:ds="http://schemas.openxmlformats.org/officeDocument/2006/customXml" ds:itemID="{2CC53570-4169-4B88-9EDB-63F838AC0123}">
  <ds:schemaRefs/>
</ds:datastoreItem>
</file>

<file path=customXml/itemProps10.xml><?xml version="1.0" encoding="utf-8"?>
<ds:datastoreItem xmlns:ds="http://schemas.openxmlformats.org/officeDocument/2006/customXml" ds:itemID="{17971BD1-855A-4316-B91E-79820402D6A6}">
  <ds:schemaRefs/>
</ds:datastoreItem>
</file>

<file path=customXml/itemProps11.xml><?xml version="1.0" encoding="utf-8"?>
<ds:datastoreItem xmlns:ds="http://schemas.openxmlformats.org/officeDocument/2006/customXml" ds:itemID="{AFFAF244-5D81-41CE-8E6C-0E056284BB85}">
  <ds:schemaRefs/>
</ds:datastoreItem>
</file>

<file path=customXml/itemProps12.xml><?xml version="1.0" encoding="utf-8"?>
<ds:datastoreItem xmlns:ds="http://schemas.openxmlformats.org/officeDocument/2006/customXml" ds:itemID="{C0BE9F2A-51BE-48DB-B66A-7E40A8A7066D}">
  <ds:schemaRefs/>
</ds:datastoreItem>
</file>

<file path=customXml/itemProps13.xml><?xml version="1.0" encoding="utf-8"?>
<ds:datastoreItem xmlns:ds="http://schemas.openxmlformats.org/officeDocument/2006/customXml" ds:itemID="{5513FD56-082C-4A35-8D5A-7932DBC68095}">
  <ds:schemaRefs/>
</ds:datastoreItem>
</file>

<file path=customXml/itemProps14.xml><?xml version="1.0" encoding="utf-8"?>
<ds:datastoreItem xmlns:ds="http://schemas.openxmlformats.org/officeDocument/2006/customXml" ds:itemID="{32CE4784-0298-412B-881E-8752DAEABB64}">
  <ds:schemaRefs/>
</ds:datastoreItem>
</file>

<file path=customXml/itemProps15.xml><?xml version="1.0" encoding="utf-8"?>
<ds:datastoreItem xmlns:ds="http://schemas.openxmlformats.org/officeDocument/2006/customXml" ds:itemID="{7372AF17-2E74-4EE8-B7DD-BEE0A48EFE19}">
  <ds:schemaRefs/>
</ds:datastoreItem>
</file>

<file path=customXml/itemProps16.xml><?xml version="1.0" encoding="utf-8"?>
<ds:datastoreItem xmlns:ds="http://schemas.openxmlformats.org/officeDocument/2006/customXml" ds:itemID="{3134E83E-1067-48C7-BAF8-C3AF0BB9B69E}">
  <ds:schemaRefs/>
</ds:datastoreItem>
</file>

<file path=customXml/itemProps17.xml><?xml version="1.0" encoding="utf-8"?>
<ds:datastoreItem xmlns:ds="http://schemas.openxmlformats.org/officeDocument/2006/customXml" ds:itemID="{369555E9-203E-40DB-BFF6-BB32717D65F2}">
  <ds:schemaRefs/>
</ds:datastoreItem>
</file>

<file path=customXml/itemProps18.xml><?xml version="1.0" encoding="utf-8"?>
<ds:datastoreItem xmlns:ds="http://schemas.openxmlformats.org/officeDocument/2006/customXml" ds:itemID="{C0FB0A10-381D-4F27-88B9-378C4D50378E}">
  <ds:schemaRefs/>
</ds:datastoreItem>
</file>

<file path=customXml/itemProps19.xml><?xml version="1.0" encoding="utf-8"?>
<ds:datastoreItem xmlns:ds="http://schemas.openxmlformats.org/officeDocument/2006/customXml" ds:itemID="{794EAD57-B3E6-4ECA-999E-2CDFAA1D90AB}">
  <ds:schemaRefs/>
</ds:datastoreItem>
</file>

<file path=customXml/itemProps20.xml><?xml version="1.0" encoding="utf-8"?>
<ds:datastoreItem xmlns:ds="http://schemas.openxmlformats.org/officeDocument/2006/customXml" ds:itemID="{11948D98-9531-4114-B387-91B6EE558F25}">
  <ds:schemaRefs/>
</ds:datastoreItem>
</file>

<file path=customXml/itemProps21.xml><?xml version="1.0" encoding="utf-8"?>
<ds:datastoreItem xmlns:ds="http://schemas.openxmlformats.org/officeDocument/2006/customXml" ds:itemID="{188DC9C2-DD1D-4064-BCE8-F8108A6CE87E}">
  <ds:schemaRefs/>
</ds:datastoreItem>
</file>

<file path=customXml/itemProps22.xml><?xml version="1.0" encoding="utf-8"?>
<ds:datastoreItem xmlns:ds="http://schemas.openxmlformats.org/officeDocument/2006/customXml" ds:itemID="{047D7BCD-E979-410A-9F15-3BCDA6231F65}">
  <ds:schemaRefs/>
</ds:datastoreItem>
</file>

<file path=customXml/itemProps23.xml><?xml version="1.0" encoding="utf-8"?>
<ds:datastoreItem xmlns:ds="http://schemas.openxmlformats.org/officeDocument/2006/customXml" ds:itemID="{3B4B60BE-F5D8-499A-89AE-9A1EE8854F66}">
  <ds:schemaRefs/>
</ds:datastoreItem>
</file>

<file path=customXml/itemProps24.xml><?xml version="1.0" encoding="utf-8"?>
<ds:datastoreItem xmlns:ds="http://schemas.openxmlformats.org/officeDocument/2006/customXml" ds:itemID="{18BBA939-37AB-4B2C-8744-B77115194D8F}">
  <ds:schemaRefs/>
</ds:datastoreItem>
</file>

<file path=customXml/itemProps25.xml><?xml version="1.0" encoding="utf-8"?>
<ds:datastoreItem xmlns:ds="http://schemas.openxmlformats.org/officeDocument/2006/customXml" ds:itemID="{E4B3D869-4138-4799-A571-B4E47E4A8E77}">
  <ds:schemaRefs/>
</ds:datastoreItem>
</file>

<file path=customXml/itemProps26.xml><?xml version="1.0" encoding="utf-8"?>
<ds:datastoreItem xmlns:ds="http://schemas.openxmlformats.org/officeDocument/2006/customXml" ds:itemID="{6D76EFD5-253F-4994-90A4-0DA93659B3A9}">
  <ds:schemaRefs/>
</ds:datastoreItem>
</file>

<file path=customXml/itemProps27.xml><?xml version="1.0" encoding="utf-8"?>
<ds:datastoreItem xmlns:ds="http://schemas.openxmlformats.org/officeDocument/2006/customXml" ds:itemID="{0FB1CB45-6A09-49ED-B691-57AEFBA585F1}">
  <ds:schemaRefs/>
</ds:datastoreItem>
</file>

<file path=customXml/itemProps28.xml><?xml version="1.0" encoding="utf-8"?>
<ds:datastoreItem xmlns:ds="http://schemas.openxmlformats.org/officeDocument/2006/customXml" ds:itemID="{297E55E6-DE0A-4BD5-9CDC-B95F6D5439D2}">
  <ds:schemaRefs/>
</ds:datastoreItem>
</file>

<file path=customXml/itemProps29.xml><?xml version="1.0" encoding="utf-8"?>
<ds:datastoreItem xmlns:ds="http://schemas.openxmlformats.org/officeDocument/2006/customXml" ds:itemID="{0D0C71E6-83BC-45D1-90FE-5F0B5C5FCE10}">
  <ds:schemaRefs/>
</ds:datastoreItem>
</file>

<file path=customXml/itemProps30.xml><?xml version="1.0" encoding="utf-8"?>
<ds:datastoreItem xmlns:ds="http://schemas.openxmlformats.org/officeDocument/2006/customXml" ds:itemID="{E52407AC-683D-4232-89FA-C98A1F8ACE3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Main</vt:lpstr>
      <vt:lpstr>Employee</vt:lpstr>
      <vt:lpstr>Department</vt:lpstr>
      <vt:lpstr>JOB</vt:lpstr>
      <vt:lpstr>Lookup Table ignore</vt:lpstr>
      <vt:lpstr>pivot</vt:lpstr>
      <vt:lpstr>KPI</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Shreyash Gupta</dc:creator>
  <cp:lastModifiedBy>Shreyash Gupta</cp:lastModifiedBy>
  <cp:lastPrinted>2026-07-22T16:35:43Z</cp:lastPrinted>
  <dcterms:created xsi:type="dcterms:W3CDTF">2026-07-21T13:53:59Z</dcterms:created>
  <dcterms:modified xsi:type="dcterms:W3CDTF">2026-07-22T17:19:47Z</dcterms:modified>
</cp:coreProperties>
</file>